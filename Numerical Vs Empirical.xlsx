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Heat Transfer\Project\"/>
    </mc:Choice>
  </mc:AlternateContent>
  <xr:revisionPtr revIDLastSave="0" documentId="8_{930054B1-0A92-49FB-8CA1-71B1E04CFD17}" xr6:coauthVersionLast="47" xr6:coauthVersionMax="47" xr10:uidLastSave="{00000000-0000-0000-0000-000000000000}"/>
  <bookViews>
    <workbookView xWindow="-120" yWindow="-120" windowWidth="29040" windowHeight="15720" activeTab="2" xr2:uid="{C38F00AA-9027-422C-821D-1FD0E780C0B7}"/>
  </bookViews>
  <sheets>
    <sheet name="Req 1 (Empirical) (MATLAB)" sheetId="6" r:id="rId1"/>
    <sheet name="Req 2,3 (Empirical)" sheetId="1" r:id="rId2"/>
    <sheet name="Req 1 comparison" sheetId="3" r:id="rId3"/>
    <sheet name="Req 2 comparison" sheetId="4" r:id="rId4"/>
    <sheet name="Req 3 Comparison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5" l="1"/>
  <c r="H8" i="5"/>
  <c r="E8" i="5"/>
  <c r="D8" i="5"/>
  <c r="I7" i="5"/>
  <c r="H7" i="5"/>
  <c r="E7" i="5"/>
  <c r="D7" i="5"/>
  <c r="I6" i="5"/>
  <c r="H6" i="5"/>
  <c r="E6" i="5"/>
  <c r="D6" i="5"/>
  <c r="I5" i="5"/>
  <c r="H5" i="5"/>
  <c r="E5" i="5"/>
  <c r="D5" i="5"/>
  <c r="I4" i="5"/>
  <c r="H4" i="5"/>
  <c r="E4" i="5"/>
  <c r="D4" i="5"/>
  <c r="I3" i="5"/>
  <c r="H3" i="5"/>
  <c r="E3" i="5"/>
  <c r="D3" i="5"/>
  <c r="I2" i="5"/>
  <c r="H2" i="5"/>
  <c r="E2" i="5"/>
  <c r="D2" i="5"/>
  <c r="I8" i="4"/>
  <c r="H8" i="4"/>
  <c r="E8" i="4"/>
  <c r="D8" i="4"/>
  <c r="I7" i="4"/>
  <c r="H7" i="4"/>
  <c r="E7" i="4"/>
  <c r="D7" i="4"/>
  <c r="I6" i="4"/>
  <c r="H6" i="4"/>
  <c r="E6" i="4"/>
  <c r="D6" i="4"/>
  <c r="I5" i="4"/>
  <c r="H5" i="4"/>
  <c r="E5" i="4"/>
  <c r="D5" i="4"/>
  <c r="I4" i="4"/>
  <c r="H4" i="4"/>
  <c r="E4" i="4"/>
  <c r="D4" i="4"/>
  <c r="I3" i="4"/>
  <c r="H3" i="4"/>
  <c r="E3" i="4"/>
  <c r="D3" i="4"/>
  <c r="I2" i="4"/>
  <c r="H2" i="4"/>
  <c r="E2" i="4"/>
  <c r="D2" i="4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L10" i="3"/>
  <c r="K10" i="3"/>
  <c r="J10" i="3"/>
  <c r="I10" i="3"/>
  <c r="E10" i="3"/>
  <c r="D10" i="3"/>
  <c r="L9" i="3"/>
  <c r="K9" i="3"/>
  <c r="J9" i="3"/>
  <c r="I9" i="3"/>
  <c r="E9" i="3"/>
  <c r="D9" i="3"/>
  <c r="L8" i="3"/>
  <c r="K8" i="3"/>
  <c r="J8" i="3"/>
  <c r="I8" i="3"/>
  <c r="E8" i="3"/>
  <c r="D8" i="3"/>
  <c r="L7" i="3"/>
  <c r="K7" i="3"/>
  <c r="J7" i="3"/>
  <c r="I7" i="3"/>
  <c r="E7" i="3"/>
  <c r="D7" i="3"/>
  <c r="L6" i="3"/>
  <c r="K6" i="3"/>
  <c r="J6" i="3"/>
  <c r="I6" i="3"/>
  <c r="E6" i="3"/>
  <c r="D6" i="3"/>
  <c r="L5" i="3"/>
  <c r="K5" i="3"/>
  <c r="J5" i="3"/>
  <c r="I5" i="3"/>
  <c r="E5" i="3"/>
  <c r="D5" i="3"/>
  <c r="L4" i="3"/>
  <c r="K4" i="3"/>
  <c r="J4" i="3"/>
  <c r="I4" i="3"/>
  <c r="E4" i="3"/>
  <c r="D4" i="3"/>
  <c r="L3" i="3"/>
  <c r="K3" i="3"/>
  <c r="J3" i="3"/>
  <c r="I3" i="3"/>
  <c r="E3" i="3"/>
  <c r="D3" i="3"/>
  <c r="L2" i="3"/>
  <c r="K2" i="3"/>
  <c r="J2" i="3"/>
  <c r="I2" i="3"/>
  <c r="E2" i="3"/>
  <c r="D2" i="3"/>
  <c r="Q10" i="6"/>
  <c r="P10" i="6"/>
  <c r="O10" i="6"/>
  <c r="N10" i="6"/>
  <c r="M10" i="6"/>
  <c r="L10" i="6"/>
  <c r="K10" i="6"/>
  <c r="Q9" i="6"/>
  <c r="P9" i="6"/>
  <c r="O9" i="6"/>
  <c r="N9" i="6"/>
  <c r="M9" i="6"/>
  <c r="L9" i="6"/>
  <c r="K9" i="6"/>
  <c r="Q8" i="6"/>
  <c r="P8" i="6"/>
  <c r="O8" i="6"/>
  <c r="N8" i="6"/>
  <c r="M8" i="6"/>
  <c r="L8" i="6"/>
  <c r="K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Q5" i="6"/>
  <c r="P5" i="6"/>
  <c r="O5" i="6"/>
  <c r="N5" i="6"/>
  <c r="M5" i="6"/>
  <c r="L5" i="6"/>
  <c r="K5" i="6"/>
  <c r="Q4" i="6"/>
  <c r="P4" i="6"/>
  <c r="O4" i="6"/>
  <c r="N4" i="6"/>
  <c r="M4" i="6"/>
  <c r="L4" i="6"/>
  <c r="K4" i="6"/>
  <c r="Q3" i="6"/>
  <c r="P3" i="6"/>
  <c r="O3" i="6"/>
  <c r="N3" i="6"/>
  <c r="M3" i="6"/>
  <c r="L3" i="6"/>
  <c r="K3" i="6"/>
  <c r="Q2" i="6"/>
  <c r="P2" i="6"/>
  <c r="O2" i="6"/>
  <c r="N2" i="6"/>
  <c r="M2" i="6"/>
  <c r="L2" i="6"/>
  <c r="K2" i="6"/>
</calcChain>
</file>

<file path=xl/sharedStrings.xml><?xml version="1.0" encoding="utf-8"?>
<sst xmlns="http://schemas.openxmlformats.org/spreadsheetml/2006/main" count="60" uniqueCount="41">
  <si>
    <t>Velocity (U) (km/h)</t>
  </si>
  <si>
    <t>Surface Average Temperature (Ts, avg) (°C)</t>
  </si>
  <si>
    <r>
      <t xml:space="preserve">Overall Convection Coefficient (h, avg) </t>
    </r>
    <r>
      <rPr>
        <b/>
        <sz val="12"/>
        <color rgb="FF000000"/>
        <rFont val="Calibri"/>
        <family val="2"/>
        <scheme val="minor"/>
      </rPr>
      <t>(W/m²·K)</t>
    </r>
  </si>
  <si>
    <t>Friction Force (Fd) (N)</t>
  </si>
  <si>
    <t>Overall Skin Friction Coefficient (Cd, avg)</t>
  </si>
  <si>
    <t>x (m)</t>
  </si>
  <si>
    <t>Ts @ 20 km/h</t>
  </si>
  <si>
    <t>Ts @ 40 km/h</t>
  </si>
  <si>
    <t>Ts @ 60 km/h</t>
  </si>
  <si>
    <t>Ts @ 80 km/h</t>
  </si>
  <si>
    <t>Ts @ 100 km/h</t>
  </si>
  <si>
    <t>Ts @ 120 km/h</t>
  </si>
  <si>
    <t>Ts @ 140 km/h</t>
  </si>
  <si>
    <t>Ts (Numerical)</t>
  </si>
  <si>
    <t>Ts (Empirical)</t>
  </si>
  <si>
    <t>Absolute Error (°C)</t>
  </si>
  <si>
    <t>% Error</t>
  </si>
  <si>
    <r>
      <t xml:space="preserve">h, avg </t>
    </r>
    <r>
      <rPr>
        <b/>
        <sz val="12"/>
        <color rgb="FF000000"/>
        <rFont val="Calibri"/>
        <family val="2"/>
        <scheme val="minor"/>
      </rPr>
      <t>(W/m²·K)</t>
    </r>
    <r>
      <rPr>
        <b/>
        <sz val="11"/>
        <color rgb="FF000000"/>
        <rFont val="Calibri"/>
        <family val="2"/>
        <scheme val="minor"/>
      </rPr>
      <t xml:space="preserve"> (Numerical)</t>
    </r>
  </si>
  <si>
    <t>Ts, avg (°C) (Numerical)</t>
  </si>
  <si>
    <t>Ts, avg (°C) (Empirical)</t>
  </si>
  <si>
    <t>h, avg (W/m²·K) (Empirical)</t>
  </si>
  <si>
    <t>Absolute Error (W/m²·K)</t>
  </si>
  <si>
    <t>Fd (N) (Numerical)</t>
  </si>
  <si>
    <t>Cd, avg (Numerical)</t>
  </si>
  <si>
    <t>Absolute Error (N)</t>
  </si>
  <si>
    <t>Absolute Error</t>
  </si>
  <si>
    <t>Cd, avg (Empirical)</t>
  </si>
  <si>
    <t>Fd (N) (Empirical)</t>
  </si>
  <si>
    <t>x_m</t>
  </si>
  <si>
    <t>U_20_kmh</t>
  </si>
  <si>
    <t>U_40_kmh</t>
  </si>
  <si>
    <t>U_60_kmh</t>
  </si>
  <si>
    <t>U_80_kmh</t>
  </si>
  <si>
    <t>U_100_kmh</t>
  </si>
  <si>
    <t>U_120_kmh</t>
  </si>
  <si>
    <t>U_140_kmh</t>
  </si>
  <si>
    <t>U_kmh</t>
  </si>
  <si>
    <t>Ts_avg_C</t>
  </si>
  <si>
    <t>h_avg_W_m2K</t>
  </si>
  <si>
    <t>Cf_avg</t>
  </si>
  <si>
    <t>Fd_N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</si>
</sst>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(MATLAB)'!$B$2:$B$402</c:f>
              <c:numCache>
                <c:formatCode>General</c:formatCode>
                <c:ptCount val="401"/>
                <c:pt idx="0">
                  <c:v>22.944734357463972</c:v>
                </c:pt>
                <c:pt idx="1">
                  <c:v>23.695140174639505</c:v>
                </c:pt>
                <c:pt idx="2">
                  <c:v>24.544282921186436</c:v>
                </c:pt>
                <c:pt idx="3">
                  <c:v>25.086282767534271</c:v>
                </c:pt>
                <c:pt idx="4">
                  <c:v>25.491553822501601</c:v>
                </c:pt>
                <c:pt idx="5">
                  <c:v>25.818135068592369</c:v>
                </c:pt>
                <c:pt idx="6">
                  <c:v>26.093167422635361</c:v>
                </c:pt>
                <c:pt idx="7">
                  <c:v>26.331637219475624</c:v>
                </c:pt>
                <c:pt idx="8">
                  <c:v>26.542733116799582</c:v>
                </c:pt>
                <c:pt idx="9">
                  <c:v>26.7325136897486</c:v>
                </c:pt>
                <c:pt idx="10">
                  <c:v>26.905193609091896</c:v>
                </c:pt>
                <c:pt idx="11">
                  <c:v>27.063828268005295</c:v>
                </c:pt>
                <c:pt idx="12">
                  <c:v>27.210706407228258</c:v>
                </c:pt>
                <c:pt idx="13">
                  <c:v>27.347588815622998</c:v>
                </c:pt>
                <c:pt idx="14">
                  <c:v>27.475860442014664</c:v>
                </c:pt>
                <c:pt idx="15">
                  <c:v>27.596631161900746</c:v>
                </c:pt>
                <c:pt idx="16">
                  <c:v>27.71080473922791</c:v>
                </c:pt>
                <c:pt idx="17">
                  <c:v>27.819127348744473</c:v>
                </c:pt>
                <c:pt idx="18">
                  <c:v>27.922222543172666</c:v>
                </c:pt>
                <c:pt idx="19">
                  <c:v>28.020616982668912</c:v>
                </c:pt>
                <c:pt idx="20">
                  <c:v>28.114759717268612</c:v>
                </c:pt>
                <c:pt idx="21">
                  <c:v>28.205036874515088</c:v>
                </c:pt>
                <c:pt idx="22">
                  <c:v>28.291783010684696</c:v>
                </c:pt>
                <c:pt idx="23">
                  <c:v>28.375289998597111</c:v>
                </c:pt>
                <c:pt idx="24">
                  <c:v>28.455814069041764</c:v>
                </c:pt>
                <c:pt idx="25">
                  <c:v>28.53358144935271</c:v>
                </c:pt>
                <c:pt idx="26">
                  <c:v>28.608792922855287</c:v>
                </c:pt>
                <c:pt idx="27">
                  <c:v>28.681627548777158</c:v>
                </c:pt>
                <c:pt idx="28">
                  <c:v>28.75224572221623</c:v>
                </c:pt>
                <c:pt idx="29">
                  <c:v>28.820791710371964</c:v>
                </c:pt>
                <c:pt idx="30">
                  <c:v>28.887395769455793</c:v>
                </c:pt>
                <c:pt idx="31">
                  <c:v>28.952175923130085</c:v>
                </c:pt>
                <c:pt idx="32">
                  <c:v>29.015239465657942</c:v>
                </c:pt>
                <c:pt idx="33">
                  <c:v>29.076684239564031</c:v>
                </c:pt>
                <c:pt idx="34">
                  <c:v>29.136599727378496</c:v>
                </c:pt>
                <c:pt idx="35">
                  <c:v>29.195067989139147</c:v>
                </c:pt>
                <c:pt idx="36">
                  <c:v>29.252164471190838</c:v>
                </c:pt>
                <c:pt idx="37">
                  <c:v>29.3079587070049</c:v>
                </c:pt>
                <c:pt idx="38">
                  <c:v>29.362514926939411</c:v>
                </c:pt>
                <c:pt idx="39">
                  <c:v>29.415892590838951</c:v>
                </c:pt>
                <c:pt idx="40">
                  <c:v>29.46814685495076</c:v>
                </c:pt>
                <c:pt idx="41">
                  <c:v>29.519328982685749</c:v>
                </c:pt>
                <c:pt idx="42">
                  <c:v>29.569486707173098</c:v>
                </c:pt>
                <c:pt idx="43">
                  <c:v>29.618664552271412</c:v>
                </c:pt>
                <c:pt idx="44">
                  <c:v>29.666904117646141</c:v>
                </c:pt>
                <c:pt idx="45">
                  <c:v>29.714244332654857</c:v>
                </c:pt>
                <c:pt idx="46">
                  <c:v>29.760721683067572</c:v>
                </c:pt>
                <c:pt idx="47">
                  <c:v>29.806370414051457</c:v>
                </c:pt>
                <c:pt idx="48">
                  <c:v>29.851222712355025</c:v>
                </c:pt>
                <c:pt idx="49">
                  <c:v>29.895308870209135</c:v>
                </c:pt>
                <c:pt idx="50">
                  <c:v>29.938657433113974</c:v>
                </c:pt>
                <c:pt idx="51">
                  <c:v>29.98129533338448</c:v>
                </c:pt>
                <c:pt idx="52">
                  <c:v>30.023248011078238</c:v>
                </c:pt>
                <c:pt idx="53">
                  <c:v>30.064539523716121</c:v>
                </c:pt>
                <c:pt idx="54">
                  <c:v>30.105192646025273</c:v>
                </c:pt>
                <c:pt idx="55">
                  <c:v>30.145228960778979</c:v>
                </c:pt>
                <c:pt idx="56">
                  <c:v>30.184668941674829</c:v>
                </c:pt>
                <c:pt idx="57">
                  <c:v>30.223532029077944</c:v>
                </c:pt>
                <c:pt idx="58">
                  <c:v>30.26183669935773</c:v>
                </c:pt>
                <c:pt idx="59">
                  <c:v>30.299600528460303</c:v>
                </c:pt>
                <c:pt idx="60">
                  <c:v>30.336840250285263</c:v>
                </c:pt>
                <c:pt idx="61">
                  <c:v>30.373571810370606</c:v>
                </c:pt>
                <c:pt idx="62">
                  <c:v>30.409810415333141</c:v>
                </c:pt>
                <c:pt idx="63">
                  <c:v>30.445570578463503</c:v>
                </c:pt>
                <c:pt idx="64">
                  <c:v>30.48086616182951</c:v>
                </c:pt>
                <c:pt idx="65">
                  <c:v>30.515710415207195</c:v>
                </c:pt>
                <c:pt idx="66">
                  <c:v>30.550116012122203</c:v>
                </c:pt>
                <c:pt idx="67">
                  <c:v>30.584095083257012</c:v>
                </c:pt>
                <c:pt idx="68">
                  <c:v>30.617659247452707</c:v>
                </c:pt>
                <c:pt idx="69">
                  <c:v>30.650819640511372</c:v>
                </c:pt>
                <c:pt idx="70">
                  <c:v>30.683586941984231</c:v>
                </c:pt>
                <c:pt idx="71">
                  <c:v>30.715971400113744</c:v>
                </c:pt>
                <c:pt idx="72">
                  <c:v>30.747982855080352</c:v>
                </c:pt>
                <c:pt idx="73">
                  <c:v>30.779630760691475</c:v>
                </c:pt>
                <c:pt idx="74">
                  <c:v>30.81092420463699</c:v>
                </c:pt>
                <c:pt idx="75">
                  <c:v>30.841871927423313</c:v>
                </c:pt>
                <c:pt idx="76">
                  <c:v>30.872482340089846</c:v>
                </c:pt>
                <c:pt idx="77">
                  <c:v>30.902763540799981</c:v>
                </c:pt>
                <c:pt idx="78">
                  <c:v>30.932723330392548</c:v>
                </c:pt>
                <c:pt idx="79">
                  <c:v>30.962369226970793</c:v>
                </c:pt>
                <c:pt idx="80">
                  <c:v>30.991708479600447</c:v>
                </c:pt>
                <c:pt idx="81">
                  <c:v>31.020748081180898</c:v>
                </c:pt>
                <c:pt idx="82">
                  <c:v>31.049494780549821</c:v>
                </c:pt>
                <c:pt idx="83">
                  <c:v>31.077955093875232</c:v>
                </c:pt>
                <c:pt idx="84">
                  <c:v>31.106135315384904</c:v>
                </c:pt>
                <c:pt idx="85">
                  <c:v>31.134041527479326</c:v>
                </c:pt>
                <c:pt idx="86">
                  <c:v>31.161679610270539</c:v>
                </c:pt>
                <c:pt idx="87">
                  <c:v>31.189055250585398</c:v>
                </c:pt>
                <c:pt idx="88">
                  <c:v>31.21617395046917</c:v>
                </c:pt>
                <c:pt idx="89">
                  <c:v>31.243041035223087</c:v>
                </c:pt>
                <c:pt idx="90">
                  <c:v>31.2696616610055</c:v>
                </c:pt>
                <c:pt idx="91">
                  <c:v>31.296040822025816</c:v>
                </c:pt>
                <c:pt idx="92">
                  <c:v>31.322183357356266</c:v>
                </c:pt>
                <c:pt idx="93">
                  <c:v>31.348093957386538</c:v>
                </c:pt>
                <c:pt idx="94">
                  <c:v>31.373777169943651</c:v>
                </c:pt>
                <c:pt idx="95">
                  <c:v>31.399237406096859</c:v>
                </c:pt>
                <c:pt idx="96">
                  <c:v>31.424478945668</c:v>
                </c:pt>
                <c:pt idx="97">
                  <c:v>31.449505942464953</c:v>
                </c:pt>
                <c:pt idx="98">
                  <c:v>31.474322429253959</c:v>
                </c:pt>
                <c:pt idx="99">
                  <c:v>31.498932322487633</c:v>
                </c:pt>
                <c:pt idx="100">
                  <c:v>31.523339426802011</c:v>
                </c:pt>
                <c:pt idx="101">
                  <c:v>31.547547439296693</c:v>
                </c:pt>
                <c:pt idx="102">
                  <c:v>31.571559953610404</c:v>
                </c:pt>
                <c:pt idx="103">
                  <c:v>31.595380463803451</c:v>
                </c:pt>
                <c:pt idx="104">
                  <c:v>31.619012368058293</c:v>
                </c:pt>
                <c:pt idx="105">
                  <c:v>31.642458972208487</c:v>
                </c:pt>
                <c:pt idx="106">
                  <c:v>31.66572349310519</c:v>
                </c:pt>
                <c:pt idx="107">
                  <c:v>31.688809061830341</c:v>
                </c:pt>
                <c:pt idx="108">
                  <c:v>31.711718726764786</c:v>
                </c:pt>
                <c:pt idx="109">
                  <c:v>31.73445545651964</c:v>
                </c:pt>
                <c:pt idx="110">
                  <c:v>31.757022142737071</c:v>
                </c:pt>
                <c:pt idx="111">
                  <c:v>31.779421602769048</c:v>
                </c:pt>
                <c:pt idx="112">
                  <c:v>31.801656582238763</c:v>
                </c:pt>
                <c:pt idx="113">
                  <c:v>31.823729757492231</c:v>
                </c:pt>
                <c:pt idx="114">
                  <c:v>31.845643737944727</c:v>
                </c:pt>
                <c:pt idx="115">
                  <c:v>31.867401068328206</c:v>
                </c:pt>
                <c:pt idx="116">
                  <c:v>31.889004230843852</c:v>
                </c:pt>
                <c:pt idx="117">
                  <c:v>31.910455647225774</c:v>
                </c:pt>
                <c:pt idx="118">
                  <c:v>31.931757680718817</c:v>
                </c:pt>
                <c:pt idx="119">
                  <c:v>31.952912637975828</c:v>
                </c:pt>
                <c:pt idx="120">
                  <c:v>31.973922770878062</c:v>
                </c:pt>
                <c:pt idx="121">
                  <c:v>31.994790278281812</c:v>
                </c:pt>
                <c:pt idx="122">
                  <c:v>32.015517307695973</c:v>
                </c:pt>
                <c:pt idx="123">
                  <c:v>32.036105956892868</c:v>
                </c:pt>
                <c:pt idx="124">
                  <c:v>32.056558275455757</c:v>
                </c:pt>
                <c:pt idx="125">
                  <c:v>32.076876266266424</c:v>
                </c:pt>
                <c:pt idx="126">
                  <c:v>32.097061886935023</c:v>
                </c:pt>
                <c:pt idx="127">
                  <c:v>32.117117051175342</c:v>
                </c:pt>
                <c:pt idx="128">
                  <c:v>32.137043630127494</c:v>
                </c:pt>
                <c:pt idx="129">
                  <c:v>32.156843453630927</c:v>
                </c:pt>
                <c:pt idx="130">
                  <c:v>32.176518311450025</c:v>
                </c:pt>
                <c:pt idx="131">
                  <c:v>32.196069954453492</c:v>
                </c:pt>
                <c:pt idx="132">
                  <c:v>32.215500095751054</c:v>
                </c:pt>
                <c:pt idx="133">
                  <c:v>32.234810411787976</c:v>
                </c:pt>
                <c:pt idx="134">
                  <c:v>32.254002543400418</c:v>
                </c:pt>
                <c:pt idx="135">
                  <c:v>32.273078096831966</c:v>
                </c:pt>
                <c:pt idx="136">
                  <c:v>32.292038644714864</c:v>
                </c:pt>
                <c:pt idx="137">
                  <c:v>32.310885727015261</c:v>
                </c:pt>
                <c:pt idx="138">
                  <c:v>32.329620851946174</c:v>
                </c:pt>
                <c:pt idx="139">
                  <c:v>32.348245496847767</c:v>
                </c:pt>
                <c:pt idx="140">
                  <c:v>32.366761109037554</c:v>
                </c:pt>
                <c:pt idx="141">
                  <c:v>32.385169106630826</c:v>
                </c:pt>
                <c:pt idx="142">
                  <c:v>32.403470879333554</c:v>
                </c:pt>
                <c:pt idx="143">
                  <c:v>32.421667789207675</c:v>
                </c:pt>
                <c:pt idx="144">
                  <c:v>32.439761171411078</c:v>
                </c:pt>
                <c:pt idx="145">
                  <c:v>32.457752334912584</c:v>
                </c:pt>
                <c:pt idx="146">
                  <c:v>32.475642563183044</c:v>
                </c:pt>
                <c:pt idx="147">
                  <c:v>32.493433114863535</c:v>
                </c:pt>
                <c:pt idx="148">
                  <c:v>32.511125224411956</c:v>
                </c:pt>
                <c:pt idx="149">
                  <c:v>32.5287201027283</c:v>
                </c:pt>
                <c:pt idx="150">
                  <c:v>32.546218937759363</c:v>
                </c:pt>
                <c:pt idx="151">
                  <c:v>32.563622895084677</c:v>
                </c:pt>
                <c:pt idx="152">
                  <c:v>32.580933118483131</c:v>
                </c:pt>
                <c:pt idx="153">
                  <c:v>32.598150730481677</c:v>
                </c:pt>
                <c:pt idx="154">
                  <c:v>32.615276832887218</c:v>
                </c:pt>
                <c:pt idx="155">
                  <c:v>32.632312507300924</c:v>
                </c:pt>
                <c:pt idx="156">
                  <c:v>32.649258815617543</c:v>
                </c:pt>
                <c:pt idx="157">
                  <c:v>32.666116800508462</c:v>
                </c:pt>
                <c:pt idx="158">
                  <c:v>32.682887485890262</c:v>
                </c:pt>
                <c:pt idx="159">
                  <c:v>32.699571877379014</c:v>
                </c:pt>
                <c:pt idx="160">
                  <c:v>32.716170962730473</c:v>
                </c:pt>
                <c:pt idx="161">
                  <c:v>32.732685712267426</c:v>
                </c:pt>
                <c:pt idx="162">
                  <c:v>32.749117079293853</c:v>
                </c:pt>
                <c:pt idx="163">
                  <c:v>32.765466000496929</c:v>
                </c:pt>
                <c:pt idx="164">
                  <c:v>32.781733396337017</c:v>
                </c:pt>
                <c:pt idx="165">
                  <c:v>32.797920171426313</c:v>
                </c:pt>
                <c:pt idx="166">
                  <c:v>32.814027214896385</c:v>
                </c:pt>
                <c:pt idx="167">
                  <c:v>32.830055400754759</c:v>
                </c:pt>
                <c:pt idx="168">
                  <c:v>32.846005588231662</c:v>
                </c:pt>
                <c:pt idx="169">
                  <c:v>32.861878622116421</c:v>
                </c:pt>
                <c:pt idx="170">
                  <c:v>32.877675333084426</c:v>
                </c:pt>
                <c:pt idx="171">
                  <c:v>32.893396538014827</c:v>
                </c:pt>
                <c:pt idx="172">
                  <c:v>32.909043040298968</c:v>
                </c:pt>
                <c:pt idx="173">
                  <c:v>32.924615630140806</c:v>
                </c:pt>
                <c:pt idx="174">
                  <c:v>32.94011508484806</c:v>
                </c:pt>
                <c:pt idx="175">
                  <c:v>32.955542169116256</c:v>
                </c:pt>
                <c:pt idx="176">
                  <c:v>32.970897635304084</c:v>
                </c:pt>
                <c:pt idx="177">
                  <c:v>32.98618222370169</c:v>
                </c:pt>
                <c:pt idx="178">
                  <c:v>33.001396662791478</c:v>
                </c:pt>
                <c:pt idx="179">
                  <c:v>33.016541669502033</c:v>
                </c:pt>
                <c:pt idx="180">
                  <c:v>33.031617949454812</c:v>
                </c:pt>
                <c:pt idx="181">
                  <c:v>33.046626197204773</c:v>
                </c:pt>
                <c:pt idx="182">
                  <c:v>33.061567096473993</c:v>
                </c:pt>
                <c:pt idx="183">
                  <c:v>33.076441320379331</c:v>
                </c:pt>
                <c:pt idx="184">
                  <c:v>33.091249531654455</c:v>
                </c:pt>
                <c:pt idx="185">
                  <c:v>33.105992382865395</c:v>
                </c:pt>
                <c:pt idx="186">
                  <c:v>33.120670516620976</c:v>
                </c:pt>
                <c:pt idx="187">
                  <c:v>33.135284565777454</c:v>
                </c:pt>
                <c:pt idx="188">
                  <c:v>33.149835153638094</c:v>
                </c:pt>
                <c:pt idx="189">
                  <c:v>33.164322894147631</c:v>
                </c:pt>
                <c:pt idx="190">
                  <c:v>33.178748392081559</c:v>
                </c:pt>
                <c:pt idx="191">
                  <c:v>33.193112243230701</c:v>
                </c:pt>
                <c:pt idx="192">
                  <c:v>33.207415034581288</c:v>
                </c:pt>
                <c:pt idx="193">
                  <c:v>33.221657344490211</c:v>
                </c:pt>
                <c:pt idx="194">
                  <c:v>33.235839742856342</c:v>
                </c:pt>
                <c:pt idx="195">
                  <c:v>33.249962791286862</c:v>
                </c:pt>
                <c:pt idx="196">
                  <c:v>33.264027043260228</c:v>
                </c:pt>
                <c:pt idx="197">
                  <c:v>33.278033044284768</c:v>
                </c:pt>
                <c:pt idx="198">
                  <c:v>33.291981332053297</c:v>
                </c:pt>
                <c:pt idx="199">
                  <c:v>33.305872436594257</c:v>
                </c:pt>
                <c:pt idx="200">
                  <c:v>33.319706880418892</c:v>
                </c:pt>
                <c:pt idx="201">
                  <c:v>33.333485178665171</c:v>
                </c:pt>
                <c:pt idx="202">
                  <c:v>33.347207839237853</c:v>
                </c:pt>
                <c:pt idx="203">
                  <c:v>33.360875362945762</c:v>
                </c:pt>
                <c:pt idx="204">
                  <c:v>33.374488243635142</c:v>
                </c:pt>
                <c:pt idx="205">
                  <c:v>33.388046968320509</c:v>
                </c:pt>
                <c:pt idx="206">
                  <c:v>33.401552017311928</c:v>
                </c:pt>
                <c:pt idx="207">
                  <c:v>33.415003864339496</c:v>
                </c:pt>
                <c:pt idx="208">
                  <c:v>33.428402976674988</c:v>
                </c:pt>
                <c:pt idx="209">
                  <c:v>33.441749815250603</c:v>
                </c:pt>
                <c:pt idx="210">
                  <c:v>33.455044834774867</c:v>
                </c:pt>
                <c:pt idx="211">
                  <c:v>33.468288483846095</c:v>
                </c:pt>
                <c:pt idx="212">
                  <c:v>33.481481205063233</c:v>
                </c:pt>
                <c:pt idx="213">
                  <c:v>33.494623435133747</c:v>
                </c:pt>
                <c:pt idx="214">
                  <c:v>33.507715604979808</c:v>
                </c:pt>
                <c:pt idx="215">
                  <c:v>33.520758139841348</c:v>
                </c:pt>
                <c:pt idx="216">
                  <c:v>33.53375145937747</c:v>
                </c:pt>
                <c:pt idx="217">
                  <c:v>33.546695977764841</c:v>
                </c:pt>
                <c:pt idx="218">
                  <c:v>33.559592103794728</c:v>
                </c:pt>
                <c:pt idx="219">
                  <c:v>33.572440240967239</c:v>
                </c:pt>
                <c:pt idx="220">
                  <c:v>33.585240787583643</c:v>
                </c:pt>
                <c:pt idx="221">
                  <c:v>33.597994136837087</c:v>
                </c:pt>
                <c:pt idx="222">
                  <c:v>33.610700676900592</c:v>
                </c:pt>
                <c:pt idx="223">
                  <c:v>33.623360791013738</c:v>
                </c:pt>
                <c:pt idx="224">
                  <c:v>33.635974857567248</c:v>
                </c:pt>
                <c:pt idx="225">
                  <c:v>33.648543250185753</c:v>
                </c:pt>
                <c:pt idx="226">
                  <c:v>33.661066337808847</c:v>
                </c:pt>
                <c:pt idx="227">
                  <c:v>33.673544484770161</c:v>
                </c:pt>
                <c:pt idx="228">
                  <c:v>33.685978050875178</c:v>
                </c:pt>
                <c:pt idx="229">
                  <c:v>33.698367391477234</c:v>
                </c:pt>
                <c:pt idx="230">
                  <c:v>33.710712857551414</c:v>
                </c:pt>
                <c:pt idx="231">
                  <c:v>33.723014795767938</c:v>
                </c:pt>
                <c:pt idx="232">
                  <c:v>33.735273548563043</c:v>
                </c:pt>
                <c:pt idx="233">
                  <c:v>33.747489454208846</c:v>
                </c:pt>
                <c:pt idx="234">
                  <c:v>33.759662846881668</c:v>
                </c:pt>
                <c:pt idx="235">
                  <c:v>33.771794056729107</c:v>
                </c:pt>
                <c:pt idx="236">
                  <c:v>33.783883409935356</c:v>
                </c:pt>
                <c:pt idx="237">
                  <c:v>33.795931228785605</c:v>
                </c:pt>
                <c:pt idx="238">
                  <c:v>33.807937831728907</c:v>
                </c:pt>
                <c:pt idx="239">
                  <c:v>33.819903533439799</c:v>
                </c:pt>
                <c:pt idx="240">
                  <c:v>33.831828644878556</c:v>
                </c:pt>
                <c:pt idx="241">
                  <c:v>33.843713473350533</c:v>
                </c:pt>
                <c:pt idx="242">
                  <c:v>33.855558322564264</c:v>
                </c:pt>
                <c:pt idx="243">
                  <c:v>33.8673634926879</c:v>
                </c:pt>
                <c:pt idx="244">
                  <c:v>33.879129280405266</c:v>
                </c:pt>
                <c:pt idx="245">
                  <c:v>33.890855978970308</c:v>
                </c:pt>
                <c:pt idx="246">
                  <c:v>33.902543878260644</c:v>
                </c:pt>
                <c:pt idx="247">
                  <c:v>33.914193264830146</c:v>
                </c:pt>
                <c:pt idx="248">
                  <c:v>33.925804421960095</c:v>
                </c:pt>
                <c:pt idx="249">
                  <c:v>33.937377629710056</c:v>
                </c:pt>
                <c:pt idx="250">
                  <c:v>33.948913164966882</c:v>
                </c:pt>
                <c:pt idx="251">
                  <c:v>33.960411301493707</c:v>
                </c:pt>
                <c:pt idx="252">
                  <c:v>33.97187230997713</c:v>
                </c:pt>
                <c:pt idx="253">
                  <c:v>33.983296458074108</c:v>
                </c:pt>
                <c:pt idx="254">
                  <c:v>33.994684010457661</c:v>
                </c:pt>
                <c:pt idx="255">
                  <c:v>34.00603522886189</c:v>
                </c:pt>
                <c:pt idx="256">
                  <c:v>34.017350372125861</c:v>
                </c:pt>
                <c:pt idx="257">
                  <c:v>34.028629696236976</c:v>
                </c:pt>
                <c:pt idx="258">
                  <c:v>34.039873454373321</c:v>
                </c:pt>
                <c:pt idx="259">
                  <c:v>34.051081896945448</c:v>
                </c:pt>
                <c:pt idx="260">
                  <c:v>34.0622552716369</c:v>
                </c:pt>
                <c:pt idx="261">
                  <c:v>34.073393823444746</c:v>
                </c:pt>
                <c:pt idx="262">
                  <c:v>34.084497794718516</c:v>
                </c:pt>
                <c:pt idx="263">
                  <c:v>34.095567425199079</c:v>
                </c:pt>
                <c:pt idx="264">
                  <c:v>34.106602952056562</c:v>
                </c:pt>
                <c:pt idx="265">
                  <c:v>34.117604609927412</c:v>
                </c:pt>
                <c:pt idx="266">
                  <c:v>34.128572630951112</c:v>
                </c:pt>
                <c:pt idx="267">
                  <c:v>34.139507244805998</c:v>
                </c:pt>
                <c:pt idx="268">
                  <c:v>34.150408678744498</c:v>
                </c:pt>
                <c:pt idx="269">
                  <c:v>34.161277157627637</c:v>
                </c:pt>
                <c:pt idx="270">
                  <c:v>34.17211290395926</c:v>
                </c:pt>
                <c:pt idx="271">
                  <c:v>34.182916137919278</c:v>
                </c:pt>
                <c:pt idx="272">
                  <c:v>34.193687077396305</c:v>
                </c:pt>
                <c:pt idx="273">
                  <c:v>34.204425938020108</c:v>
                </c:pt>
                <c:pt idx="274">
                  <c:v>34.215132933193047</c:v>
                </c:pt>
                <c:pt idx="275">
                  <c:v>34.225808274121277</c:v>
                </c:pt>
                <c:pt idx="276">
                  <c:v>34.236452169845165</c:v>
                </c:pt>
                <c:pt idx="277">
                  <c:v>34.247064827269469</c:v>
                </c:pt>
                <c:pt idx="278">
                  <c:v>34.2576464511925</c:v>
                </c:pt>
                <c:pt idx="279">
                  <c:v>34.268197244335397</c:v>
                </c:pt>
                <c:pt idx="280">
                  <c:v>34.278717407370436</c:v>
                </c:pt>
                <c:pt idx="281">
                  <c:v>34.289207138949052</c:v>
                </c:pt>
                <c:pt idx="282">
                  <c:v>34.299666635729182</c:v>
                </c:pt>
                <c:pt idx="283">
                  <c:v>34.310096092402489</c:v>
                </c:pt>
                <c:pt idx="284">
                  <c:v>34.320495701720915</c:v>
                </c:pt>
                <c:pt idx="285">
                  <c:v>34.330865654522484</c:v>
                </c:pt>
                <c:pt idx="286">
                  <c:v>34.341206139757389</c:v>
                </c:pt>
                <c:pt idx="287">
                  <c:v>34.351517344512956</c:v>
                </c:pt>
                <c:pt idx="288">
                  <c:v>34.361799454038533</c:v>
                </c:pt>
                <c:pt idx="289">
                  <c:v>34.37205265176982</c:v>
                </c:pt>
                <c:pt idx="290">
                  <c:v>34.382277119352977</c:v>
                </c:pt>
                <c:pt idx="291">
                  <c:v>34.39247303666815</c:v>
                </c:pt>
                <c:pt idx="292">
                  <c:v>34.402640581852495</c:v>
                </c:pt>
                <c:pt idx="293">
                  <c:v>34.412779931323428</c:v>
                </c:pt>
                <c:pt idx="294">
                  <c:v>34.422891259800622</c:v>
                </c:pt>
                <c:pt idx="295">
                  <c:v>34.432974740328177</c:v>
                </c:pt>
                <c:pt idx="296">
                  <c:v>34.443030544296562</c:v>
                </c:pt>
                <c:pt idx="297">
                  <c:v>34.453058841463644</c:v>
                </c:pt>
                <c:pt idx="298">
                  <c:v>34.463059799975952</c:v>
                </c:pt>
                <c:pt idx="299">
                  <c:v>34.473033586389249</c:v>
                </c:pt>
                <c:pt idx="300">
                  <c:v>34.482980365688832</c:v>
                </c:pt>
                <c:pt idx="301">
                  <c:v>34.492900301309476</c:v>
                </c:pt>
                <c:pt idx="302">
                  <c:v>34.502793555155392</c:v>
                </c:pt>
                <c:pt idx="303">
                  <c:v>34.512660287619269</c:v>
                </c:pt>
                <c:pt idx="304">
                  <c:v>34.52250065760154</c:v>
                </c:pt>
                <c:pt idx="305">
                  <c:v>34.532314822529145</c:v>
                </c:pt>
                <c:pt idx="306">
                  <c:v>34.54210293837383</c:v>
                </c:pt>
                <c:pt idx="307">
                  <c:v>34.551865159670569</c:v>
                </c:pt>
                <c:pt idx="308">
                  <c:v>34.561601639535127</c:v>
                </c:pt>
                <c:pt idx="309">
                  <c:v>34.571312529682018</c:v>
                </c:pt>
                <c:pt idx="310">
                  <c:v>34.580997980441566</c:v>
                </c:pt>
                <c:pt idx="311">
                  <c:v>34.59065814077718</c:v>
                </c:pt>
                <c:pt idx="312">
                  <c:v>34.600293158302009</c:v>
                </c:pt>
                <c:pt idx="313">
                  <c:v>34.609903179295372</c:v>
                </c:pt>
                <c:pt idx="314">
                  <c:v>34.619488348719415</c:v>
                </c:pt>
                <c:pt idx="315">
                  <c:v>34.629048810234849</c:v>
                </c:pt>
                <c:pt idx="316">
                  <c:v>34.638584706216648</c:v>
                </c:pt>
                <c:pt idx="317">
                  <c:v>34.648096177769958</c:v>
                </c:pt>
                <c:pt idx="318">
                  <c:v>34.657583364745108</c:v>
                </c:pt>
                <c:pt idx="319">
                  <c:v>34.667046405752842</c:v>
                </c:pt>
                <c:pt idx="320">
                  <c:v>34.676485438178986</c:v>
                </c:pt>
                <c:pt idx="321">
                  <c:v>34.685900598199396</c:v>
                </c:pt>
                <c:pt idx="322">
                  <c:v>34.695292020793943</c:v>
                </c:pt>
                <c:pt idx="323">
                  <c:v>34.704659839761121</c:v>
                </c:pt>
                <c:pt idx="324">
                  <c:v>34.714004187731689</c:v>
                </c:pt>
                <c:pt idx="325">
                  <c:v>34.723325196182714</c:v>
                </c:pt>
                <c:pt idx="326">
                  <c:v>34.732622995450924</c:v>
                </c:pt>
                <c:pt idx="327">
                  <c:v>34.741897714746131</c:v>
                </c:pt>
                <c:pt idx="328">
                  <c:v>34.751149482164578</c:v>
                </c:pt>
                <c:pt idx="329">
                  <c:v>34.760378424701628</c:v>
                </c:pt>
                <c:pt idx="330">
                  <c:v>34.769584668264713</c:v>
                </c:pt>
                <c:pt idx="331">
                  <c:v>34.778768337685904</c:v>
                </c:pt>
                <c:pt idx="332">
                  <c:v>34.787929556734355</c:v>
                </c:pt>
                <c:pt idx="333">
                  <c:v>34.797068448128471</c:v>
                </c:pt>
                <c:pt idx="334">
                  <c:v>34.806185133548013</c:v>
                </c:pt>
                <c:pt idx="335">
                  <c:v>34.81527973364598</c:v>
                </c:pt>
                <c:pt idx="336">
                  <c:v>34.824352368060318</c:v>
                </c:pt>
                <c:pt idx="337">
                  <c:v>34.833403155425401</c:v>
                </c:pt>
                <c:pt idx="338">
                  <c:v>34.842432213383518</c:v>
                </c:pt>
                <c:pt idx="339">
                  <c:v>34.85143965859595</c:v>
                </c:pt>
                <c:pt idx="340">
                  <c:v>34.860425606754291</c:v>
                </c:pt>
                <c:pt idx="341">
                  <c:v>34.869390172590897</c:v>
                </c:pt>
                <c:pt idx="342">
                  <c:v>34.878333469890151</c:v>
                </c:pt>
                <c:pt idx="343">
                  <c:v>34.887255611498688</c:v>
                </c:pt>
                <c:pt idx="344">
                  <c:v>34.896156709335912</c:v>
                </c:pt>
                <c:pt idx="345">
                  <c:v>34.905036874404459</c:v>
                </c:pt>
                <c:pt idx="346">
                  <c:v>34.913896216800083</c:v>
                </c:pt>
                <c:pt idx="347">
                  <c:v>34.922734845722005</c:v>
                </c:pt>
                <c:pt idx="348">
                  <c:v>34.931552869482516</c:v>
                </c:pt>
                <c:pt idx="349">
                  <c:v>34.940350395516646</c:v>
                </c:pt>
                <c:pt idx="350">
                  <c:v>34.949127530392161</c:v>
                </c:pt>
                <c:pt idx="351">
                  <c:v>34.957884379818665</c:v>
                </c:pt>
                <c:pt idx="352">
                  <c:v>34.966621048657032</c:v>
                </c:pt>
                <c:pt idx="353">
                  <c:v>34.975337640928728</c:v>
                </c:pt>
                <c:pt idx="354">
                  <c:v>34.984034259824853</c:v>
                </c:pt>
                <c:pt idx="355">
                  <c:v>34.992711007714888</c:v>
                </c:pt>
                <c:pt idx="356">
                  <c:v>35.001367986155913</c:v>
                </c:pt>
                <c:pt idx="357">
                  <c:v>35.010005295901067</c:v>
                </c:pt>
                <c:pt idx="358">
                  <c:v>35.018623036908139</c:v>
                </c:pt>
                <c:pt idx="359">
                  <c:v>35.027221308348203</c:v>
                </c:pt>
                <c:pt idx="360">
                  <c:v>35.035800208613978</c:v>
                </c:pt>
                <c:pt idx="361">
                  <c:v>35.044359835327953</c:v>
                </c:pt>
                <c:pt idx="362">
                  <c:v>35.052900285350574</c:v>
                </c:pt>
                <c:pt idx="363">
                  <c:v>35.061421654788433</c:v>
                </c:pt>
                <c:pt idx="364">
                  <c:v>35.06992403900199</c:v>
                </c:pt>
                <c:pt idx="365">
                  <c:v>35.078407532613653</c:v>
                </c:pt>
                <c:pt idx="366">
                  <c:v>35.086872229515166</c:v>
                </c:pt>
                <c:pt idx="367">
                  <c:v>35.095318222875619</c:v>
                </c:pt>
                <c:pt idx="368">
                  <c:v>35.103745605148731</c:v>
                </c:pt>
                <c:pt idx="369">
                  <c:v>35.112154468080234</c:v>
                </c:pt>
                <c:pt idx="370">
                  <c:v>35.120544902715324</c:v>
                </c:pt>
                <c:pt idx="371">
                  <c:v>35.128916999405988</c:v>
                </c:pt>
                <c:pt idx="372">
                  <c:v>35.137270847817945</c:v>
                </c:pt>
                <c:pt idx="373">
                  <c:v>35.145606536937692</c:v>
                </c:pt>
                <c:pt idx="374">
                  <c:v>35.153924155079665</c:v>
                </c:pt>
                <c:pt idx="375">
                  <c:v>35.162223789892948</c:v>
                </c:pt>
                <c:pt idx="376">
                  <c:v>35.170505528367926</c:v>
                </c:pt>
                <c:pt idx="377">
                  <c:v>35.178769456843384</c:v>
                </c:pt>
                <c:pt idx="378">
                  <c:v>35.187015661012651</c:v>
                </c:pt>
                <c:pt idx="379">
                  <c:v>35.19524422593048</c:v>
                </c:pt>
                <c:pt idx="380">
                  <c:v>35.203455236019181</c:v>
                </c:pt>
                <c:pt idx="381">
                  <c:v>35.211648775075275</c:v>
                </c:pt>
                <c:pt idx="382">
                  <c:v>35.219824926275521</c:v>
                </c:pt>
                <c:pt idx="383">
                  <c:v>35.227983772183279</c:v>
                </c:pt>
                <c:pt idx="384">
                  <c:v>35.236125394754538</c:v>
                </c:pt>
                <c:pt idx="385">
                  <c:v>35.244249875343939</c:v>
                </c:pt>
                <c:pt idx="386">
                  <c:v>35.252357294710919</c:v>
                </c:pt>
                <c:pt idx="387">
                  <c:v>35.260447733025387</c:v>
                </c:pt>
                <c:pt idx="388">
                  <c:v>35.268521269873588</c:v>
                </c:pt>
                <c:pt idx="389">
                  <c:v>35.276577984263952</c:v>
                </c:pt>
                <c:pt idx="390">
                  <c:v>35.284617954632665</c:v>
                </c:pt>
                <c:pt idx="391">
                  <c:v>35.292641258849301</c:v>
                </c:pt>
                <c:pt idx="392">
                  <c:v>35.3006479742225</c:v>
                </c:pt>
                <c:pt idx="393">
                  <c:v>35.308638177505202</c:v>
                </c:pt>
                <c:pt idx="394">
                  <c:v>35.316611944900046</c:v>
                </c:pt>
                <c:pt idx="395">
                  <c:v>35.324569352064941</c:v>
                </c:pt>
                <c:pt idx="396">
                  <c:v>35.332510474118237</c:v>
                </c:pt>
                <c:pt idx="397">
                  <c:v>35.340435385643787</c:v>
                </c:pt>
                <c:pt idx="398">
                  <c:v>35.348344160696286</c:v>
                </c:pt>
                <c:pt idx="399">
                  <c:v>35.356236872806164</c:v>
                </c:pt>
                <c:pt idx="400">
                  <c:v>35.364113594984758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C-4BB4-9642-62A306BE969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(MATLAB)'!$C$2:$C$402</c:f>
              <c:numCache>
                <c:formatCode>General</c:formatCode>
                <c:ptCount val="401"/>
                <c:pt idx="0">
                  <c:v>21.847570087319752</c:v>
                </c:pt>
                <c:pt idx="1">
                  <c:v>22.272141460593218</c:v>
                </c:pt>
                <c:pt idx="2">
                  <c:v>22.7457769112508</c:v>
                </c:pt>
                <c:pt idx="3">
                  <c:v>23.04658371131768</c:v>
                </c:pt>
                <c:pt idx="4">
                  <c:v>23.271366558399791</c:v>
                </c:pt>
                <c:pt idx="5">
                  <c:v>23.452596804545919</c:v>
                </c:pt>
                <c:pt idx="6">
                  <c:v>23.605353203614129</c:v>
                </c:pt>
                <c:pt idx="7">
                  <c:v>23.737930221007332</c:v>
                </c:pt>
                <c:pt idx="8">
                  <c:v>23.855402369613955</c:v>
                </c:pt>
                <c:pt idx="9">
                  <c:v>23.961111271586333</c:v>
                </c:pt>
                <c:pt idx="10">
                  <c:v>24.057379858634306</c:v>
                </c:pt>
                <c:pt idx="11">
                  <c:v>24.145891505342377</c:v>
                </c:pt>
                <c:pt idx="12">
                  <c:v>24.227907034520911</c:v>
                </c:pt>
                <c:pt idx="13">
                  <c:v>24.304396461427643</c:v>
                </c:pt>
                <c:pt idx="14">
                  <c:v>24.376122861108115</c:v>
                </c:pt>
                <c:pt idx="15">
                  <c:v>24.443697884727897</c:v>
                </c:pt>
                <c:pt idx="16">
                  <c:v>24.507619732828971</c:v>
                </c:pt>
                <c:pt idx="17">
                  <c:v>24.568299863689276</c:v>
                </c:pt>
                <c:pt idx="18">
                  <c:v>24.626082235595391</c:v>
                </c:pt>
                <c:pt idx="19">
                  <c:v>24.681257463469706</c:v>
                </c:pt>
                <c:pt idx="20">
                  <c:v>24.73407342747538</c:v>
                </c:pt>
                <c:pt idx="21">
                  <c:v>24.784743353586521</c:v>
                </c:pt>
                <c:pt idx="22">
                  <c:v>24.83345205882307</c:v>
                </c:pt>
                <c:pt idx="23">
                  <c:v>24.880360841533786</c:v>
                </c:pt>
                <c:pt idx="24">
                  <c:v>24.925611356177512</c:v>
                </c:pt>
                <c:pt idx="25">
                  <c:v>24.969328716557015</c:v>
                </c:pt>
                <c:pt idx="26">
                  <c:v>25.011624005539147</c:v>
                </c:pt>
                <c:pt idx="27">
                  <c:v>25.052596323012665</c:v>
                </c:pt>
                <c:pt idx="28">
                  <c:v>25.092334470837386</c:v>
                </c:pt>
                <c:pt idx="29">
                  <c:v>25.130918349678893</c:v>
                </c:pt>
                <c:pt idx="30">
                  <c:v>25.168420125142632</c:v>
                </c:pt>
                <c:pt idx="31">
                  <c:v>25.20490520766657</c:v>
                </c:pt>
                <c:pt idx="32">
                  <c:v>25.240433080914727</c:v>
                </c:pt>
                <c:pt idx="33">
                  <c:v>25.275058006061101</c:v>
                </c:pt>
                <c:pt idx="34">
                  <c:v>25.308829623726353</c:v>
                </c:pt>
                <c:pt idx="35">
                  <c:v>25.341793470992116</c:v>
                </c:pt>
                <c:pt idx="36">
                  <c:v>25.373991427540147</c:v>
                </c:pt>
                <c:pt idx="37">
                  <c:v>25.405462102318495</c:v>
                </c:pt>
                <c:pt idx="38">
                  <c:v>25.436241170044923</c:v>
                </c:pt>
                <c:pt idx="39">
                  <c:v>25.466361665196246</c:v>
                </c:pt>
                <c:pt idx="40">
                  <c:v>25.495854239800224</c:v>
                </c:pt>
                <c:pt idx="41">
                  <c:v>25.524747390274911</c:v>
                </c:pt>
                <c:pt idx="42">
                  <c:v>25.553067657692452</c:v>
                </c:pt>
                <c:pt idx="43">
                  <c:v>25.58083980513527</c:v>
                </c:pt>
                <c:pt idx="44">
                  <c:v>25.608086975234585</c:v>
                </c:pt>
                <c:pt idx="45">
                  <c:v>25.634830830502779</c:v>
                </c:pt>
                <c:pt idx="46">
                  <c:v>25.661091678678133</c:v>
                </c:pt>
                <c:pt idx="47">
                  <c:v>25.686888584971825</c:v>
                </c:pt>
                <c:pt idx="48">
                  <c:v>25.712239472834028</c:v>
                </c:pt>
                <c:pt idx="49">
                  <c:v>25.737161214627008</c:v>
                </c:pt>
                <c:pt idx="50">
                  <c:v>25.761669713400977</c:v>
                </c:pt>
                <c:pt idx="51">
                  <c:v>25.785779976805202</c:v>
                </c:pt>
                <c:pt idx="52">
                  <c:v>25.809506184029146</c:v>
                </c:pt>
                <c:pt idx="53">
                  <c:v>25.832861746552624</c:v>
                </c:pt>
                <c:pt idx="54">
                  <c:v>25.855859363382422</c:v>
                </c:pt>
                <c:pt idx="55">
                  <c:v>25.878511071368507</c:v>
                </c:pt>
                <c:pt idx="56">
                  <c:v>25.900828291119353</c:v>
                </c:pt>
                <c:pt idx="57">
                  <c:v>25.922821868972392</c:v>
                </c:pt>
                <c:pt idx="58">
                  <c:v>25.944502115421926</c:v>
                </c:pt>
                <c:pt idx="59">
                  <c:v>25.96587884035938</c:v>
                </c:pt>
                <c:pt idx="60">
                  <c:v>25.986961385439031</c:v>
                </c:pt>
                <c:pt idx="61">
                  <c:v>26.007758653847986</c:v>
                </c:pt>
                <c:pt idx="62">
                  <c:v>26.02827913772785</c:v>
                </c:pt>
                <c:pt idx="63">
                  <c:v>26.04853094346754</c:v>
                </c:pt>
                <c:pt idx="64">
                  <c:v>26.068521815063718</c:v>
                </c:pt>
                <c:pt idx="65">
                  <c:v>26.088259155724984</c:v>
                </c:pt>
                <c:pt idx="66">
                  <c:v>26.107750047875527</c:v>
                </c:pt>
                <c:pt idx="67">
                  <c:v>26.12700127170018</c:v>
                </c:pt>
                <c:pt idx="68">
                  <c:v>26.146019322357461</c:v>
                </c:pt>
                <c:pt idx="69">
                  <c:v>26.164810425973087</c:v>
                </c:pt>
                <c:pt idx="70">
                  <c:v>26.183380554518749</c:v>
                </c:pt>
                <c:pt idx="71">
                  <c:v>26.201735439666777</c:v>
                </c:pt>
                <c:pt idx="72">
                  <c:v>26.219880585705539</c:v>
                </c:pt>
                <c:pt idx="73">
                  <c:v>26.237821281591494</c:v>
                </c:pt>
                <c:pt idx="74">
                  <c:v>26.255562612206006</c:v>
                </c:pt>
                <c:pt idx="75">
                  <c:v>26.273109468879682</c:v>
                </c:pt>
                <c:pt idx="76">
                  <c:v>26.290466559241565</c:v>
                </c:pt>
                <c:pt idx="77">
                  <c:v>26.307638416443581</c:v>
                </c:pt>
                <c:pt idx="78">
                  <c:v>26.3246294078088</c:v>
                </c:pt>
                <c:pt idx="79">
                  <c:v>26.34144374294516</c:v>
                </c:pt>
                <c:pt idx="80">
                  <c:v>26.358085481365208</c:v>
                </c:pt>
                <c:pt idx="81">
                  <c:v>26.374558539646898</c:v>
                </c:pt>
                <c:pt idx="82">
                  <c:v>26.390866698168509</c:v>
                </c:pt>
                <c:pt idx="83">
                  <c:v>26.407013607448221</c:v>
                </c:pt>
                <c:pt idx="84">
                  <c:v>26.42300279411586</c:v>
                </c:pt>
                <c:pt idx="85">
                  <c:v>26.438837666542213</c:v>
                </c:pt>
                <c:pt idx="86">
                  <c:v>26.454521520149513</c:v>
                </c:pt>
                <c:pt idx="87">
                  <c:v>26.470057542424058</c:v>
                </c:pt>
                <c:pt idx="88">
                  <c:v>26.48544881765207</c:v>
                </c:pt>
                <c:pt idx="89">
                  <c:v>26.500698331395711</c:v>
                </c:pt>
                <c:pt idx="90">
                  <c:v>26.515808974727406</c:v>
                </c:pt>
                <c:pt idx="91">
                  <c:v>26.530783548236968</c:v>
                </c:pt>
                <c:pt idx="92">
                  <c:v>26.545624765827199</c:v>
                </c:pt>
                <c:pt idx="93">
                  <c:v>26.560335258310488</c:v>
                </c:pt>
                <c:pt idx="94">
                  <c:v>26.574917576819075</c:v>
                </c:pt>
                <c:pt idx="95">
                  <c:v>26.589374196040808</c:v>
                </c:pt>
                <c:pt idx="96">
                  <c:v>26.603707517290616</c:v>
                </c:pt>
                <c:pt idx="97">
                  <c:v>26.617919871428171</c:v>
                </c:pt>
                <c:pt idx="98">
                  <c:v>26.632013521630086</c:v>
                </c:pt>
                <c:pt idx="99">
                  <c:v>26.645990666026648</c:v>
                </c:pt>
                <c:pt idx="100">
                  <c:v>26.659853440209474</c:v>
                </c:pt>
                <c:pt idx="101">
                  <c:v>26.673603919618927</c:v>
                </c:pt>
                <c:pt idx="102">
                  <c:v>26.687244121817571</c:v>
                </c:pt>
                <c:pt idx="103">
                  <c:v>26.700776008655964</c:v>
                </c:pt>
                <c:pt idx="104">
                  <c:v>26.714201488337494</c:v>
                </c:pt>
                <c:pt idx="105">
                  <c:v>26.727522417387434</c:v>
                </c:pt>
                <c:pt idx="106">
                  <c:v>26.740740602531616</c:v>
                </c:pt>
                <c:pt idx="107">
                  <c:v>26.753857802489904</c:v>
                </c:pt>
                <c:pt idx="108">
                  <c:v>26.766875729688707</c:v>
                </c:pt>
                <c:pt idx="109">
                  <c:v>26.779796051897392</c:v>
                </c:pt>
                <c:pt idx="110">
                  <c:v>26.792620393791822</c:v>
                </c:pt>
                <c:pt idx="111">
                  <c:v>26.805350338450296</c:v>
                </c:pt>
                <c:pt idx="112">
                  <c:v>26.817987428783624</c:v>
                </c:pt>
                <c:pt idx="113">
                  <c:v>26.830533168904424</c:v>
                </c:pt>
                <c:pt idx="114">
                  <c:v>26.842989025437589</c:v>
                </c:pt>
                <c:pt idx="115">
                  <c:v>26.855356428775735</c:v>
                </c:pt>
                <c:pt idx="116">
                  <c:v>26.86763677428155</c:v>
                </c:pt>
                <c:pt idx="117">
                  <c:v>26.879831423440805</c:v>
                </c:pt>
                <c:pt idx="118">
                  <c:v>26.891941704967678</c:v>
                </c:pt>
                <c:pt idx="119">
                  <c:v>26.903968915864482</c:v>
                </c:pt>
                <c:pt idx="120">
                  <c:v>26.915914322439278</c:v>
                </c:pt>
                <c:pt idx="121">
                  <c:v>26.927779161282103</c:v>
                </c:pt>
                <c:pt idx="122">
                  <c:v>26.939564640202605</c:v>
                </c:pt>
                <c:pt idx="123">
                  <c:v>26.951271939130322</c:v>
                </c:pt>
                <c:pt idx="124">
                  <c:v>26.962902210980076</c:v>
                </c:pt>
                <c:pt idx="125">
                  <c:v>26.974456582483469</c:v>
                </c:pt>
                <c:pt idx="126">
                  <c:v>26.985936154988565</c:v>
                </c:pt>
                <c:pt idx="127">
                  <c:v>26.997342005228859</c:v>
                </c:pt>
                <c:pt idx="128">
                  <c:v>27.008675186062931</c:v>
                </c:pt>
                <c:pt idx="129">
                  <c:v>27.019936727186689</c:v>
                </c:pt>
                <c:pt idx="130">
                  <c:v>27.03112763581845</c:v>
                </c:pt>
                <c:pt idx="131">
                  <c:v>27.042248897359229</c:v>
                </c:pt>
                <c:pt idx="132">
                  <c:v>27.053301476028253</c:v>
                </c:pt>
                <c:pt idx="133">
                  <c:v>27.064286315475556</c:v>
                </c:pt>
                <c:pt idx="134">
                  <c:v>27.075204339372249</c:v>
                </c:pt>
                <c:pt idx="135">
                  <c:v>27.08605645197963</c:v>
                </c:pt>
                <c:pt idx="136">
                  <c:v>27.096843538698181</c:v>
                </c:pt>
                <c:pt idx="137">
                  <c:v>27.107566466596495</c:v>
                </c:pt>
                <c:pt idx="138">
                  <c:v>27.118226084922583</c:v>
                </c:pt>
                <c:pt idx="139">
                  <c:v>27.12882322559625</c:v>
                </c:pt>
                <c:pt idx="140">
                  <c:v>27.139358703685218</c:v>
                </c:pt>
                <c:pt idx="141">
                  <c:v>27.149833317864591</c:v>
                </c:pt>
                <c:pt idx="142">
                  <c:v>27.160247850860458</c:v>
                </c:pt>
                <c:pt idx="143">
                  <c:v>27.170603069878723</c:v>
                </c:pt>
                <c:pt idx="144">
                  <c:v>27.180899727019266</c:v>
                </c:pt>
                <c:pt idx="145">
                  <c:v>27.191138559676517</c:v>
                </c:pt>
                <c:pt idx="146">
                  <c:v>27.201320290926276</c:v>
                </c:pt>
                <c:pt idx="147">
                  <c:v>27.211445629900311</c:v>
                </c:pt>
                <c:pt idx="148">
                  <c:v>27.221515272148281</c:v>
                </c:pt>
                <c:pt idx="149">
                  <c:v>27.231529899988004</c:v>
                </c:pt>
                <c:pt idx="150">
                  <c:v>27.241490182844416</c:v>
                </c:pt>
                <c:pt idx="151">
                  <c:v>27.251396777577668</c:v>
                </c:pt>
                <c:pt idx="152">
                  <c:v>27.26125032880077</c:v>
                </c:pt>
                <c:pt idx="153">
                  <c:v>27.271051469186943</c:v>
                </c:pt>
                <c:pt idx="154">
                  <c:v>27.280800819767535</c:v>
                </c:pt>
                <c:pt idx="155">
                  <c:v>27.290498990220783</c:v>
                </c:pt>
                <c:pt idx="156">
                  <c:v>27.300146579150976</c:v>
                </c:pt>
                <c:pt idx="157">
                  <c:v>27.309744174359707</c:v>
                </c:pt>
                <c:pt idx="158">
                  <c:v>27.319292353108324</c:v>
                </c:pt>
                <c:pt idx="159">
                  <c:v>27.328791682372582</c:v>
                </c:pt>
                <c:pt idx="160">
                  <c:v>27.338242719089521</c:v>
                </c:pt>
                <c:pt idx="161">
                  <c:v>27.347646010396943</c:v>
                </c:pt>
                <c:pt idx="162">
                  <c:v>27.357002093865844</c:v>
                </c:pt>
                <c:pt idx="163">
                  <c:v>27.366311497725462</c:v>
                </c:pt>
                <c:pt idx="164">
                  <c:v>27.375574741082289</c:v>
                </c:pt>
                <c:pt idx="165">
                  <c:v>27.384792334132328</c:v>
                </c:pt>
                <c:pt idx="166">
                  <c:v>27.393964778367149</c:v>
                </c:pt>
                <c:pt idx="167">
                  <c:v>27.403092566774035</c:v>
                </c:pt>
                <c:pt idx="168">
                  <c:v>27.412176184030159</c:v>
                </c:pt>
                <c:pt idx="169">
                  <c:v>27.421216106691759</c:v>
                </c:pt>
                <c:pt idx="170">
                  <c:v>27.430212803377117</c:v>
                </c:pt>
                <c:pt idx="171">
                  <c:v>27.439166734945104</c:v>
                </c:pt>
                <c:pt idx="172">
                  <c:v>27.448078354667928</c:v>
                </c:pt>
                <c:pt idx="173">
                  <c:v>27.45694810840007</c:v>
                </c:pt>
                <c:pt idx="174">
                  <c:v>27.465776434741258</c:v>
                </c:pt>
                <c:pt idx="175">
                  <c:v>27.474563765196081</c:v>
                </c:pt>
                <c:pt idx="176">
                  <c:v>27.483310524328488</c:v>
                </c:pt>
                <c:pt idx="177">
                  <c:v>27.492017129912426</c:v>
                </c:pt>
                <c:pt idx="178">
                  <c:v>27.500683993077985</c:v>
                </c:pt>
                <c:pt idx="179">
                  <c:v>27.509311518454069</c:v>
                </c:pt>
                <c:pt idx="180">
                  <c:v>27.517900104306989</c:v>
                </c:pt>
                <c:pt idx="181">
                  <c:v>27.526450142675287</c:v>
                </c:pt>
                <c:pt idx="182">
                  <c:v>27.534962019500995</c:v>
                </c:pt>
                <c:pt idx="183">
                  <c:v>27.543436114757583</c:v>
                </c:pt>
                <c:pt idx="184">
                  <c:v>27.551872802574337</c:v>
                </c:pt>
                <c:pt idx="185">
                  <c:v>27.560272451357662</c:v>
                </c:pt>
                <c:pt idx="186">
                  <c:v>27.568635423908972</c:v>
                </c:pt>
                <c:pt idx="187">
                  <c:v>27.576962077539861</c:v>
                </c:pt>
                <c:pt idx="188">
                  <c:v>27.585252764183963</c:v>
                </c:pt>
                <c:pt idx="189">
                  <c:v>27.593507830506326</c:v>
                </c:pt>
                <c:pt idx="190">
                  <c:v>27.601727618009591</c:v>
                </c:pt>
                <c:pt idx="191">
                  <c:v>27.609912463137789</c:v>
                </c:pt>
                <c:pt idx="192">
                  <c:v>27.618062697377241</c:v>
                </c:pt>
                <c:pt idx="193">
                  <c:v>27.626178647355459</c:v>
                </c:pt>
                <c:pt idx="194">
                  <c:v>27.634260634936766</c:v>
                </c:pt>
                <c:pt idx="195">
                  <c:v>27.642308977316304</c:v>
                </c:pt>
                <c:pt idx="196">
                  <c:v>27.650323987111278</c:v>
                </c:pt>
                <c:pt idx="197">
                  <c:v>27.658305972450023</c:v>
                </c:pt>
                <c:pt idx="198">
                  <c:v>27.666255237059147</c:v>
                </c:pt>
                <c:pt idx="199">
                  <c:v>27.674172080348114</c:v>
                </c:pt>
                <c:pt idx="200">
                  <c:v>27.682056797492407</c:v>
                </c:pt>
                <c:pt idx="201">
                  <c:v>27.689909679513676</c:v>
                </c:pt>
                <c:pt idx="202">
                  <c:v>27.697731013359373</c:v>
                </c:pt>
                <c:pt idx="203">
                  <c:v>27.705521081978986</c:v>
                </c:pt>
                <c:pt idx="204">
                  <c:v>27.713280164399805</c:v>
                </c:pt>
                <c:pt idx="205">
                  <c:v>27.72100853579974</c:v>
                </c:pt>
                <c:pt idx="206">
                  <c:v>27.728706467579457</c:v>
                </c:pt>
                <c:pt idx="207">
                  <c:v>27.736374227431895</c:v>
                </c:pt>
                <c:pt idx="208">
                  <c:v>27.74401207941105</c:v>
                </c:pt>
                <c:pt idx="209">
                  <c:v>27.751620283998363</c:v>
                </c:pt>
                <c:pt idx="210">
                  <c:v>27.759199098168153</c:v>
                </c:pt>
                <c:pt idx="211">
                  <c:v>27.766748775451276</c:v>
                </c:pt>
                <c:pt idx="212">
                  <c:v>27.774269565997429</c:v>
                </c:pt>
                <c:pt idx="213">
                  <c:v>27.781761716635856</c:v>
                </c:pt>
                <c:pt idx="214">
                  <c:v>27.789225470935037</c:v>
                </c:pt>
                <c:pt idx="215">
                  <c:v>27.796661069260779</c:v>
                </c:pt>
                <c:pt idx="216">
                  <c:v>27.804068748832947</c:v>
                </c:pt>
                <c:pt idx="217">
                  <c:v>27.811448743781057</c:v>
                </c:pt>
                <c:pt idx="218">
                  <c:v>27.818801285198731</c:v>
                </c:pt>
                <c:pt idx="219">
                  <c:v>27.826126601196677</c:v>
                </c:pt>
                <c:pt idx="220">
                  <c:v>27.833424916954868</c:v>
                </c:pt>
                <c:pt idx="221">
                  <c:v>27.840696454773081</c:v>
                </c:pt>
                <c:pt idx="222">
                  <c:v>27.847941434120855</c:v>
                </c:pt>
                <c:pt idx="223">
                  <c:v>27.855160071686043</c:v>
                </c:pt>
                <c:pt idx="224">
                  <c:v>27.862352581422442</c:v>
                </c:pt>
                <c:pt idx="225">
                  <c:v>27.869519174596292</c:v>
                </c:pt>
                <c:pt idx="226">
                  <c:v>27.87666005983192</c:v>
                </c:pt>
                <c:pt idx="227">
                  <c:v>27.88377544315631</c:v>
                </c:pt>
                <c:pt idx="228">
                  <c:v>27.890865528042696</c:v>
                </c:pt>
                <c:pt idx="229">
                  <c:v>27.897930515453481</c:v>
                </c:pt>
                <c:pt idx="230">
                  <c:v>27.90497060388185</c:v>
                </c:pt>
                <c:pt idx="231">
                  <c:v>27.911985989392861</c:v>
                </c:pt>
                <c:pt idx="232">
                  <c:v>27.918976865663581</c:v>
                </c:pt>
                <c:pt idx="233">
                  <c:v>27.925943424022137</c:v>
                </c:pt>
                <c:pt idx="234">
                  <c:v>27.932885853486482</c:v>
                </c:pt>
                <c:pt idx="235">
                  <c:v>27.9398043408018</c:v>
                </c:pt>
                <c:pt idx="236">
                  <c:v>27.946699070477564</c:v>
                </c:pt>
                <c:pt idx="237">
                  <c:v>27.953570224823636</c:v>
                </c:pt>
                <c:pt idx="238">
                  <c:v>27.960417983985622</c:v>
                </c:pt>
                <c:pt idx="239">
                  <c:v>27.967242525979714</c:v>
                </c:pt>
                <c:pt idx="240">
                  <c:v>27.974044026726403</c:v>
                </c:pt>
                <c:pt idx="241">
                  <c:v>27.980822660084129</c:v>
                </c:pt>
                <c:pt idx="242">
                  <c:v>27.987578597881622</c:v>
                </c:pt>
                <c:pt idx="243">
                  <c:v>27.994312009950136</c:v>
                </c:pt>
                <c:pt idx="244">
                  <c:v>28.001023064154651</c:v>
                </c:pt>
                <c:pt idx="245">
                  <c:v>28.007711926424747</c:v>
                </c:pt>
                <c:pt idx="246">
                  <c:v>28.014378760784609</c:v>
                </c:pt>
                <c:pt idx="247">
                  <c:v>28.021023729382591</c:v>
                </c:pt>
                <c:pt idx="248">
                  <c:v>28.027646992520374</c:v>
                </c:pt>
                <c:pt idx="249">
                  <c:v>28.034248708681048</c:v>
                </c:pt>
                <c:pt idx="250">
                  <c:v>28.040829034557248</c:v>
                </c:pt>
                <c:pt idx="251">
                  <c:v>28.047388125078442</c:v>
                </c:pt>
                <c:pt idx="252">
                  <c:v>28.053926133437585</c:v>
                </c:pt>
                <c:pt idx="253">
                  <c:v>28.060443211117558</c:v>
                </c:pt>
                <c:pt idx="254">
                  <c:v>28.066939507916743</c:v>
                </c:pt>
                <c:pt idx="255">
                  <c:v>28.073415171974659</c:v>
                </c:pt>
                <c:pt idx="256">
                  <c:v>28.079870349796465</c:v>
                </c:pt>
                <c:pt idx="257">
                  <c:v>28.086305186277514</c:v>
                </c:pt>
                <c:pt idx="258">
                  <c:v>28.092719824726998</c:v>
                </c:pt>
                <c:pt idx="259">
                  <c:v>28.099114406891886</c:v>
                </c:pt>
                <c:pt idx="260">
                  <c:v>28.105489072979253</c:v>
                </c:pt>
                <c:pt idx="261">
                  <c:v>28.111843961679483</c:v>
                </c:pt>
                <c:pt idx="262">
                  <c:v>28.118179210188089</c:v>
                </c:pt>
                <c:pt idx="263">
                  <c:v>28.124494954227714</c:v>
                </c:pt>
                <c:pt idx="264">
                  <c:v>28.130791328069165</c:v>
                </c:pt>
                <c:pt idx="265">
                  <c:v>28.137068464552726</c:v>
                </c:pt>
                <c:pt idx="266">
                  <c:v>28.143326495108511</c:v>
                </c:pt>
                <c:pt idx="267">
                  <c:v>28.149565549776923</c:v>
                </c:pt>
                <c:pt idx="268">
                  <c:v>28.155785757228273</c:v>
                </c:pt>
                <c:pt idx="269">
                  <c:v>28.161987244782381</c:v>
                </c:pt>
                <c:pt idx="270">
                  <c:v>28.168170138427797</c:v>
                </c:pt>
                <c:pt idx="271">
                  <c:v>28.174334562840386</c:v>
                </c:pt>
                <c:pt idx="272">
                  <c:v>28.180480641402141</c:v>
                </c:pt>
                <c:pt idx="273">
                  <c:v>28.186608496219037</c:v>
                </c:pt>
                <c:pt idx="274">
                  <c:v>28.192718248138988</c:v>
                </c:pt>
                <c:pt idx="275">
                  <c:v>28.198810016769357</c:v>
                </c:pt>
                <c:pt idx="276">
                  <c:v>28.204883920494126</c:v>
                </c:pt>
                <c:pt idx="277">
                  <c:v>28.210940076490772</c:v>
                </c:pt>
                <c:pt idx="278">
                  <c:v>28.216978600747041</c:v>
                </c:pt>
                <c:pt idx="279">
                  <c:v>28.222999608077089</c:v>
                </c:pt>
                <c:pt idx="280">
                  <c:v>28.229003212137627</c:v>
                </c:pt>
                <c:pt idx="281">
                  <c:v>28.234989525443723</c:v>
                </c:pt>
                <c:pt idx="282">
                  <c:v>28.240958659384034</c:v>
                </c:pt>
                <c:pt idx="283">
                  <c:v>28.2469107242365</c:v>
                </c:pt>
                <c:pt idx="284">
                  <c:v>28.252845829182888</c:v>
                </c:pt>
                <c:pt idx="285">
                  <c:v>28.258764082323751</c:v>
                </c:pt>
                <c:pt idx="286">
                  <c:v>28.264665590692857</c:v>
                </c:pt>
                <c:pt idx="287">
                  <c:v>28.270550460271295</c:v>
                </c:pt>
                <c:pt idx="288">
                  <c:v>28.276418796001678</c:v>
                </c:pt>
                <c:pt idx="289">
                  <c:v>28.282270701801792</c:v>
                </c:pt>
                <c:pt idx="290">
                  <c:v>28.288106280577949</c:v>
                </c:pt>
                <c:pt idx="291">
                  <c:v>28.293925634238576</c:v>
                </c:pt>
                <c:pt idx="292">
                  <c:v>28.299728863707173</c:v>
                </c:pt>
                <c:pt idx="293">
                  <c:v>28.305516068935106</c:v>
                </c:pt>
                <c:pt idx="294">
                  <c:v>28.311287348914504</c:v>
                </c:pt>
                <c:pt idx="295">
                  <c:v>28.317042801690263</c:v>
                </c:pt>
                <c:pt idx="296">
                  <c:v>28.322782524372769</c:v>
                </c:pt>
                <c:pt idx="297">
                  <c:v>28.328506613149671</c:v>
                </c:pt>
                <c:pt idx="298">
                  <c:v>28.334215163297756</c:v>
                </c:pt>
                <c:pt idx="299">
                  <c:v>28.339908269194723</c:v>
                </c:pt>
                <c:pt idx="300">
                  <c:v>28.34558602433043</c:v>
                </c:pt>
                <c:pt idx="301">
                  <c:v>28.351248521318496</c:v>
                </c:pt>
                <c:pt idx="302">
                  <c:v>28.356895851907154</c:v>
                </c:pt>
                <c:pt idx="303">
                  <c:v>28.362528106990169</c:v>
                </c:pt>
                <c:pt idx="304">
                  <c:v>28.368145376617804</c:v>
                </c:pt>
                <c:pt idx="305">
                  <c:v>28.373747750007226</c:v>
                </c:pt>
                <c:pt idx="306">
                  <c:v>28.379335315553021</c:v>
                </c:pt>
                <c:pt idx="307">
                  <c:v>28.384908160837313</c:v>
                </c:pt>
                <c:pt idx="308">
                  <c:v>28.390466372640049</c:v>
                </c:pt>
                <c:pt idx="309">
                  <c:v>28.396010036948724</c:v>
                </c:pt>
                <c:pt idx="310">
                  <c:v>28.401539238968383</c:v>
                </c:pt>
                <c:pt idx="311">
                  <c:v>28.407054063131056</c:v>
                </c:pt>
                <c:pt idx="312">
                  <c:v>28.412554593105369</c:v>
                </c:pt>
                <c:pt idx="313">
                  <c:v>28.41804091180569</c:v>
                </c:pt>
                <c:pt idx="314">
                  <c:v>28.423513101401625</c:v>
                </c:pt>
                <c:pt idx="315">
                  <c:v>28.428971243326771</c:v>
                </c:pt>
                <c:pt idx="316">
                  <c:v>28.434415418287813</c:v>
                </c:pt>
                <c:pt idx="317">
                  <c:v>28.439845706273104</c:v>
                </c:pt>
                <c:pt idx="318">
                  <c:v>28.445262186561649</c:v>
                </c:pt>
                <c:pt idx="319">
                  <c:v>28.450664937731233</c:v>
                </c:pt>
                <c:pt idx="320">
                  <c:v>28.456054037666945</c:v>
                </c:pt>
                <c:pt idx="321">
                  <c:v>28.461429563569538</c:v>
                </c:pt>
                <c:pt idx="322">
                  <c:v>28.466791591963442</c:v>
                </c:pt>
                <c:pt idx="323">
                  <c:v>28.472140198704892</c:v>
                </c:pt>
                <c:pt idx="324">
                  <c:v>28.477475458989545</c:v>
                </c:pt>
                <c:pt idx="325">
                  <c:v>28.48279744736061</c:v>
                </c:pt>
                <c:pt idx="326">
                  <c:v>28.488106237716295</c:v>
                </c:pt>
                <c:pt idx="327">
                  <c:v>28.493401903317363</c:v>
                </c:pt>
                <c:pt idx="328">
                  <c:v>28.49868451679464</c:v>
                </c:pt>
                <c:pt idx="329">
                  <c:v>28.503954150156233</c:v>
                </c:pt>
                <c:pt idx="330">
                  <c:v>28.509210874794917</c:v>
                </c:pt>
                <c:pt idx="331">
                  <c:v>28.514454761495017</c:v>
                </c:pt>
                <c:pt idx="332">
                  <c:v>28.519685880439624</c:v>
                </c:pt>
                <c:pt idx="333">
                  <c:v>28.524904301217418</c:v>
                </c:pt>
                <c:pt idx="334">
                  <c:v>28.530110092829489</c:v>
                </c:pt>
                <c:pt idx="335">
                  <c:v>28.535303323695928</c:v>
                </c:pt>
                <c:pt idx="336">
                  <c:v>28.540484061662653</c:v>
                </c:pt>
                <c:pt idx="337">
                  <c:v>28.545652374007773</c:v>
                </c:pt>
                <c:pt idx="338">
                  <c:v>28.550808327448124</c:v>
                </c:pt>
                <c:pt idx="339">
                  <c:v>28.555951988145466</c:v>
                </c:pt>
                <c:pt idx="340">
                  <c:v>28.561083421712794</c:v>
                </c:pt>
                <c:pt idx="341">
                  <c:v>28.566202693220589</c:v>
                </c:pt>
                <c:pt idx="342">
                  <c:v>28.571309867202615</c:v>
                </c:pt>
                <c:pt idx="343">
                  <c:v>28.576405007662288</c:v>
                </c:pt>
                <c:pt idx="344">
                  <c:v>28.581488178078246</c:v>
                </c:pt>
                <c:pt idx="345">
                  <c:v>28.586559441410316</c:v>
                </c:pt>
                <c:pt idx="346">
                  <c:v>28.5916188601052</c:v>
                </c:pt>
                <c:pt idx="347">
                  <c:v>28.596666496102159</c:v>
                </c:pt>
                <c:pt idx="348">
                  <c:v>28.601702410838584</c:v>
                </c:pt>
                <c:pt idx="349">
                  <c:v>28.606726665255451</c:v>
                </c:pt>
                <c:pt idx="350">
                  <c:v>28.61173931980295</c:v>
                </c:pt>
                <c:pt idx="351">
                  <c:v>28.616740434445376</c:v>
                </c:pt>
                <c:pt idx="352">
                  <c:v>28.621730068666977</c:v>
                </c:pt>
                <c:pt idx="353">
                  <c:v>28.626708281476681</c:v>
                </c:pt>
                <c:pt idx="354">
                  <c:v>28.631675131413544</c:v>
                </c:pt>
                <c:pt idx="355">
                  <c:v>28.636630676551647</c:v>
                </c:pt>
                <c:pt idx="356">
                  <c:v>28.641574974505147</c:v>
                </c:pt>
                <c:pt idx="357">
                  <c:v>28.646508082433172</c:v>
                </c:pt>
                <c:pt idx="358">
                  <c:v>28.651430057044706</c:v>
                </c:pt>
                <c:pt idx="359">
                  <c:v>28.656340954603422</c:v>
                </c:pt>
                <c:pt idx="360">
                  <c:v>28.661240830932343</c:v>
                </c:pt>
                <c:pt idx="361">
                  <c:v>28.666129741418501</c:v>
                </c:pt>
                <c:pt idx="362">
                  <c:v>28.671007741017604</c:v>
                </c:pt>
                <c:pt idx="363">
                  <c:v>28.675874884258576</c:v>
                </c:pt>
                <c:pt idx="364">
                  <c:v>28.680731225247939</c:v>
                </c:pt>
                <c:pt idx="365">
                  <c:v>28.685576817674473</c:v>
                </c:pt>
                <c:pt idx="366">
                  <c:v>28.690411714813195</c:v>
                </c:pt>
                <c:pt idx="367">
                  <c:v>28.695235969530131</c:v>
                </c:pt>
                <c:pt idx="368">
                  <c:v>28.700049634286188</c:v>
                </c:pt>
                <c:pt idx="369">
                  <c:v>28.704852761141467</c:v>
                </c:pt>
                <c:pt idx="370">
                  <c:v>28.709645401759531</c:v>
                </c:pt>
                <c:pt idx="371">
                  <c:v>28.714427607411437</c:v>
                </c:pt>
                <c:pt idx="372">
                  <c:v>28.719199428979493</c:v>
                </c:pt>
                <c:pt idx="373">
                  <c:v>28.723960916961744</c:v>
                </c:pt>
                <c:pt idx="374">
                  <c:v>28.728712121475496</c:v>
                </c:pt>
                <c:pt idx="375">
                  <c:v>28.7334530922613</c:v>
                </c:pt>
                <c:pt idx="376">
                  <c:v>28.738183878686868</c:v>
                </c:pt>
                <c:pt idx="377">
                  <c:v>28.742904529750888</c:v>
                </c:pt>
                <c:pt idx="378">
                  <c:v>28.747615094086541</c:v>
                </c:pt>
                <c:pt idx="379">
                  <c:v>28.752315619965316</c:v>
                </c:pt>
                <c:pt idx="380">
                  <c:v>28.757006155300701</c:v>
                </c:pt>
                <c:pt idx="381">
                  <c:v>28.761686747651822</c:v>
                </c:pt>
                <c:pt idx="382">
                  <c:v>28.766357444226628</c:v>
                </c:pt>
                <c:pt idx="383">
                  <c:v>28.77101829188598</c:v>
                </c:pt>
                <c:pt idx="384">
                  <c:v>28.775669337146496</c:v>
                </c:pt>
                <c:pt idx="385">
                  <c:v>28.780310626184416</c:v>
                </c:pt>
                <c:pt idx="386">
                  <c:v>28.784942204838842</c:v>
                </c:pt>
                <c:pt idx="387">
                  <c:v>28.789564118614919</c:v>
                </c:pt>
                <c:pt idx="388">
                  <c:v>28.794176412687307</c:v>
                </c:pt>
                <c:pt idx="389">
                  <c:v>28.798779131903473</c:v>
                </c:pt>
                <c:pt idx="390">
                  <c:v>28.80337232078665</c:v>
                </c:pt>
                <c:pt idx="391">
                  <c:v>28.807956023539134</c:v>
                </c:pt>
                <c:pt idx="392">
                  <c:v>28.812530284045636</c:v>
                </c:pt>
                <c:pt idx="393">
                  <c:v>28.817095145875896</c:v>
                </c:pt>
                <c:pt idx="394">
                  <c:v>28.821650652288213</c:v>
                </c:pt>
                <c:pt idx="395">
                  <c:v>28.826196846232108</c:v>
                </c:pt>
                <c:pt idx="396">
                  <c:v>28.830733770351628</c:v>
                </c:pt>
                <c:pt idx="397">
                  <c:v>28.835261466987959</c:v>
                </c:pt>
                <c:pt idx="398">
                  <c:v>28.839779978182492</c:v>
                </c:pt>
                <c:pt idx="399">
                  <c:v>28.844289345679783</c:v>
                </c:pt>
                <c:pt idx="400">
                  <c:v>28.848789610930226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C-4BB4-9642-62A306BE969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(MATLAB)'!$D$2:$D$402</c:f>
              <c:numCache>
                <c:formatCode>General</c:formatCode>
                <c:ptCount val="401"/>
                <c:pt idx="0">
                  <c:v>21.393344093694282</c:v>
                </c:pt>
                <c:pt idx="1">
                  <c:v>21.695427589178109</c:v>
                </c:pt>
                <c:pt idx="2">
                  <c:v>22.031055807545101</c:v>
                </c:pt>
                <c:pt idx="3">
                  <c:v>22.244171229916219</c:v>
                </c:pt>
                <c:pt idx="4">
                  <c:v>22.403568802409438</c:v>
                </c:pt>
                <c:pt idx="5">
                  <c:v>22.532210387300267</c:v>
                </c:pt>
                <c:pt idx="6">
                  <c:v>22.640740847724203</c:v>
                </c:pt>
                <c:pt idx="7">
                  <c:v>22.735012291505029</c:v>
                </c:pt>
                <c:pt idx="8">
                  <c:v>22.818604689680569</c:v>
                </c:pt>
                <c:pt idx="9">
                  <c:v>22.893875849592405</c:v>
                </c:pt>
                <c:pt idx="10">
                  <c:v>22.962465256485245</c:v>
                </c:pt>
                <c:pt idx="11">
                  <c:v>23.025561413188029</c:v>
                </c:pt>
                <c:pt idx="12">
                  <c:v>23.084054823730298</c:v>
                </c:pt>
                <c:pt idx="13">
                  <c:v>23.138630863613002</c:v>
                </c:pt>
                <c:pt idx="14">
                  <c:v>23.189828902391014</c:v>
                </c:pt>
                <c:pt idx="15">
                  <c:v>23.238081444218267</c:v>
                </c:pt>
                <c:pt idx="16">
                  <c:v>23.283740904118361</c:v>
                </c:pt>
                <c:pt idx="17">
                  <c:v>23.327098444461512</c:v>
                </c:pt>
                <c:pt idx="18">
                  <c:v>23.368397548675091</c:v>
                </c:pt>
                <c:pt idx="19">
                  <c:v>23.407844009692667</c:v>
                </c:pt>
                <c:pt idx="20">
                  <c:v>23.445613416761773</c:v>
                </c:pt>
                <c:pt idx="21">
                  <c:v>23.481856859487834</c:v>
                </c:pt>
                <c:pt idx="22">
                  <c:v>23.516705337374049</c:v>
                </c:pt>
                <c:pt idx="23">
                  <c:v>23.550273213503772</c:v>
                </c:pt>
                <c:pt idx="24">
                  <c:v>23.58266095169347</c:v>
                </c:pt>
                <c:pt idx="25">
                  <c:v>23.613957309141085</c:v>
                </c:pt>
                <c:pt idx="26">
                  <c:v>23.644241110130849</c:v>
                </c:pt>
                <c:pt idx="27">
                  <c:v>23.673582693726985</c:v>
                </c:pt>
                <c:pt idx="28">
                  <c:v>23.70204510512832</c:v>
                </c:pt>
                <c:pt idx="29">
                  <c:v>23.729685083528466</c:v>
                </c:pt>
                <c:pt idx="30">
                  <c:v>23.756553887001814</c:v>
                </c:pt>
                <c:pt idx="31">
                  <c:v>23.782697985795494</c:v>
                </c:pt>
                <c:pt idx="32">
                  <c:v>23.808159648556</c:v>
                </c:pt>
                <c:pt idx="33">
                  <c:v>23.832977440829211</c:v>
                </c:pt>
                <c:pt idx="34">
                  <c:v>23.857186651203449</c:v>
                </c:pt>
                <c:pt idx="35">
                  <c:v>23.88081965740281</c:v>
                </c:pt>
                <c:pt idx="36">
                  <c:v>23.903906242254948</c:v>
                </c:pt>
                <c:pt idx="37">
                  <c:v>23.926473867589664</c:v>
                </c:pt>
                <c:pt idx="38">
                  <c:v>23.948547912648223</c:v>
                </c:pt>
                <c:pt idx="39">
                  <c:v>23.970151882408572</c:v>
                </c:pt>
                <c:pt idx="40">
                  <c:v>23.991307590292706</c:v>
                </c:pt>
                <c:pt idx="41">
                  <c:v>24.012035318964308</c:v>
                </c:pt>
                <c:pt idx="42">
                  <c:v>24.032353962311674</c:v>
                </c:pt>
                <c:pt idx="43">
                  <c:v>24.052281151210309</c:v>
                </c:pt>
                <c:pt idx="44">
                  <c:v>24.071833365250313</c:v>
                </c:pt>
                <c:pt idx="45">
                  <c:v>24.091026032277341</c:v>
                </c:pt>
                <c:pt idx="46">
                  <c:v>24.109873617315372</c:v>
                </c:pt>
                <c:pt idx="47">
                  <c:v>24.128389702210256</c:v>
                </c:pt>
                <c:pt idx="48">
                  <c:v>24.146587057137026</c:v>
                </c:pt>
                <c:pt idx="49">
                  <c:v>24.164477704954493</c:v>
                </c:pt>
                <c:pt idx="50">
                  <c:v>24.182072979253121</c:v>
                </c:pt>
                <c:pt idx="51">
                  <c:v>24.199383576827245</c:v>
                </c:pt>
                <c:pt idx="52">
                  <c:v>24.216419605205829</c:v>
                </c:pt>
                <c:pt idx="53">
                  <c:v>24.233190625792986</c:v>
                </c:pt>
                <c:pt idx="54">
                  <c:v>24.249705693097951</c:v>
                </c:pt>
                <c:pt idx="55">
                  <c:v>24.265973390475438</c:v>
                </c:pt>
                <c:pt idx="56">
                  <c:v>24.282001862743869</c:v>
                </c:pt>
                <c:pt idx="57">
                  <c:v>24.297798846004923</c:v>
                </c:pt>
                <c:pt idx="58">
                  <c:v>24.313371694949353</c:v>
                </c:pt>
                <c:pt idx="59">
                  <c:v>24.328727407900544</c:v>
                </c:pt>
                <c:pt idx="60">
                  <c:v>24.343872649818252</c:v>
                </c:pt>
                <c:pt idx="61">
                  <c:v>24.358813773459758</c:v>
                </c:pt>
                <c:pt idx="62">
                  <c:v>24.37355683887364</c:v>
                </c:pt>
                <c:pt idx="63">
                  <c:v>24.388107631382582</c:v>
                </c:pt>
                <c:pt idx="64">
                  <c:v>24.402471678193763</c:v>
                </c:pt>
                <c:pt idx="65">
                  <c:v>24.416654263762268</c:v>
                </c:pt>
                <c:pt idx="66">
                  <c:v>24.430660444017747</c:v>
                </c:pt>
                <c:pt idx="67">
                  <c:v>24.444495059555038</c:v>
                </c:pt>
                <c:pt idx="68">
                  <c:v>24.458162747878362</c:v>
                </c:pt>
                <c:pt idx="69">
                  <c:v>24.471667954779832</c:v>
                </c:pt>
                <c:pt idx="70">
                  <c:v>24.485014944924956</c:v>
                </c:pt>
                <c:pt idx="71">
                  <c:v>24.498207811711268</c:v>
                </c:pt>
                <c:pt idx="72">
                  <c:v>24.511250486459176</c:v>
                </c:pt>
                <c:pt idx="73">
                  <c:v>24.524146746989061</c:v>
                </c:pt>
                <c:pt idx="74">
                  <c:v>24.536900225633531</c:v>
                </c:pt>
                <c:pt idx="75">
                  <c:v>24.549514416728584</c:v>
                </c:pt>
                <c:pt idx="76">
                  <c:v>24.561992683625078</c:v>
                </c:pt>
                <c:pt idx="77">
                  <c:v>24.57433826525596</c:v>
                </c:pt>
                <c:pt idx="78">
                  <c:v>24.586554282293889</c:v>
                </c:pt>
                <c:pt idx="79">
                  <c:v>24.598643742928516</c:v>
                </c:pt>
                <c:pt idx="80">
                  <c:v>24.610609548292814</c:v>
                </c:pt>
                <c:pt idx="81">
                  <c:v>24.622454497562615</c:v>
                </c:pt>
                <c:pt idx="82">
                  <c:v>24.634181292753567</c:v>
                </c:pt>
                <c:pt idx="83">
                  <c:v>24.645792543236666</c:v>
                </c:pt>
                <c:pt idx="84">
                  <c:v>24.657290769992358</c:v>
                </c:pt>
                <c:pt idx="85">
                  <c:v>24.668678409620611</c:v>
                </c:pt>
                <c:pt idx="86">
                  <c:v>24.679957818124421</c:v>
                </c:pt>
                <c:pt idx="87">
                  <c:v>24.691131274481563</c:v>
                </c:pt>
                <c:pt idx="88">
                  <c:v>24.702200984018873</c:v>
                </c:pt>
                <c:pt idx="89">
                  <c:v>24.713169081602018</c:v>
                </c:pt>
                <c:pt idx="90">
                  <c:v>24.724037634653087</c:v>
                </c:pt>
                <c:pt idx="91">
                  <c:v>24.734808646006684</c:v>
                </c:pt>
                <c:pt idx="92">
                  <c:v>24.745484056615055</c:v>
                </c:pt>
                <c:pt idx="93">
                  <c:v>24.75606574811178</c:v>
                </c:pt>
                <c:pt idx="94">
                  <c:v>24.766555545243079</c:v>
                </c:pt>
                <c:pt idx="95">
                  <c:v>24.77695521817418</c:v>
                </c:pt>
                <c:pt idx="96">
                  <c:v>24.787266484679492</c:v>
                </c:pt>
                <c:pt idx="97">
                  <c:v>24.797491012222736</c:v>
                </c:pt>
                <c:pt idx="98">
                  <c:v>24.80763041993356</c:v>
                </c:pt>
                <c:pt idx="99">
                  <c:v>24.817686280487862</c:v>
                </c:pt>
                <c:pt idx="100">
                  <c:v>24.827660121896258</c:v>
                </c:pt>
                <c:pt idx="101">
                  <c:v>24.837553429206423</c:v>
                </c:pt>
                <c:pt idx="102">
                  <c:v>24.84736764612461</c:v>
                </c:pt>
                <c:pt idx="103">
                  <c:v>24.857104176560654</c:v>
                </c:pt>
                <c:pt idx="104">
                  <c:v>24.86676438610067</c:v>
                </c:pt>
                <c:pt idx="105">
                  <c:v>24.876349603411597</c:v>
                </c:pt>
                <c:pt idx="106">
                  <c:v>24.885861121581684</c:v>
                </c:pt>
                <c:pt idx="107">
                  <c:v>24.895300199399799</c:v>
                </c:pt>
                <c:pt idx="108">
                  <c:v>24.90466806257723</c:v>
                </c:pt>
                <c:pt idx="109">
                  <c:v>24.913965904915358</c:v>
                </c:pt>
                <c:pt idx="110">
                  <c:v>24.923194889421552</c:v>
                </c:pt>
                <c:pt idx="111">
                  <c:v>24.932356149376176</c:v>
                </c:pt>
                <c:pt idx="112">
                  <c:v>24.941450789353439</c:v>
                </c:pt>
                <c:pt idx="113">
                  <c:v>24.95047988619865</c:v>
                </c:pt>
                <c:pt idx="114">
                  <c:v>24.959444489963403</c:v>
                </c:pt>
                <c:pt idx="115">
                  <c:v>24.968345624801486</c:v>
                </c:pt>
                <c:pt idx="116">
                  <c:v>24.977184289827505</c:v>
                </c:pt>
                <c:pt idx="117">
                  <c:v>24.985961459939574</c:v>
                </c:pt>
                <c:pt idx="118">
                  <c:v>24.994678086608303</c:v>
                </c:pt>
                <c:pt idx="119">
                  <c:v>25.00333509863367</c:v>
                </c:pt>
                <c:pt idx="120">
                  <c:v>25.011933402871307</c:v>
                </c:pt>
                <c:pt idx="121">
                  <c:v>25.020473884929459</c:v>
                </c:pt>
                <c:pt idx="122">
                  <c:v>25.02895740983837</c:v>
                </c:pt>
                <c:pt idx="123">
                  <c:v>25.037384822693411</c:v>
                </c:pt>
                <c:pt idx="124">
                  <c:v>25.045756949272629</c:v>
                </c:pt>
                <c:pt idx="125">
                  <c:v>25.054074596630983</c:v>
                </c:pt>
                <c:pt idx="126">
                  <c:v>25.062338553670884</c:v>
                </c:pt>
                <c:pt idx="127">
                  <c:v>25.070549591691758</c:v>
                </c:pt>
                <c:pt idx="128">
                  <c:v>25.078708464918179</c:v>
                </c:pt>
                <c:pt idx="129">
                  <c:v>25.086815911008443</c:v>
                </c:pt>
                <c:pt idx="130">
                  <c:v>25.094872651544222</c:v>
                </c:pt>
                <c:pt idx="131">
                  <c:v>25.102879392501734</c:v>
                </c:pt>
                <c:pt idx="132">
                  <c:v>25.110836824706098</c:v>
                </c:pt>
                <c:pt idx="133">
                  <c:v>25.11874562426874</c:v>
                </c:pt>
                <c:pt idx="134">
                  <c:v>25.126606453009117</c:v>
                </c:pt>
                <c:pt idx="135">
                  <c:v>25.134419958861429</c:v>
                </c:pt>
                <c:pt idx="136">
                  <c:v>25.142186776266556</c:v>
                </c:pt>
                <c:pt idx="137">
                  <c:v>25.149907526550123</c:v>
                </c:pt>
                <c:pt idx="138">
                  <c:v>25.157582818287949</c:v>
                </c:pt>
                <c:pt idx="139">
                  <c:v>25.165213247657562</c:v>
                </c:pt>
                <c:pt idx="140">
                  <c:v>25.172799398778807</c:v>
                </c:pt>
                <c:pt idx="141">
                  <c:v>25.18034184404172</c:v>
                </c:pt>
                <c:pt idx="142">
                  <c:v>25.187841144423885</c:v>
                </c:pt>
                <c:pt idx="143">
                  <c:v>25.195297849796873</c:v>
                </c:pt>
                <c:pt idx="144">
                  <c:v>25.202712499221946</c:v>
                </c:pt>
                <c:pt idx="145">
                  <c:v>25.210085621236658</c:v>
                </c:pt>
                <c:pt idx="146">
                  <c:v>25.217417734131118</c:v>
                </c:pt>
                <c:pt idx="147">
                  <c:v>25.224709346215889</c:v>
                </c:pt>
                <c:pt idx="148">
                  <c:v>25.23196095608057</c:v>
                </c:pt>
                <c:pt idx="149">
                  <c:v>25.239173052844194</c:v>
                </c:pt>
                <c:pt idx="150">
                  <c:v>25.246346116397547</c:v>
                </c:pt>
                <c:pt idx="151">
                  <c:v>25.253480617637706</c:v>
                </c:pt>
                <c:pt idx="152">
                  <c:v>25.26057701869513</c:v>
                </c:pt>
                <c:pt idx="153">
                  <c:v>25.267635773153302</c:v>
                </c:pt>
                <c:pt idx="154">
                  <c:v>25.274657326261945</c:v>
                </c:pt>
                <c:pt idx="155">
                  <c:v>25.281642115143029</c:v>
                </c:pt>
                <c:pt idx="156">
                  <c:v>25.288590568990969</c:v>
                </c:pt>
                <c:pt idx="157">
                  <c:v>25.295503109266065</c:v>
                </c:pt>
                <c:pt idx="158">
                  <c:v>25.302380149882424</c:v>
                </c:pt>
                <c:pt idx="159">
                  <c:v>25.30922209738992</c:v>
                </c:pt>
                <c:pt idx="160">
                  <c:v>25.316029351150917</c:v>
                </c:pt>
                <c:pt idx="161">
                  <c:v>25.32280230351131</c:v>
                </c:pt>
                <c:pt idx="162">
                  <c:v>25.329541339966738</c:v>
                </c:pt>
                <c:pt idx="163">
                  <c:v>25.336246839323792</c:v>
                </c:pt>
                <c:pt idx="164">
                  <c:v>25.342919173856387</c:v>
                </c:pt>
                <c:pt idx="165">
                  <c:v>25.34955870945771</c:v>
                </c:pt>
                <c:pt idx="166">
                  <c:v>25.356165805787327</c:v>
                </c:pt>
                <c:pt idx="167">
                  <c:v>25.362740816414885</c:v>
                </c:pt>
                <c:pt idx="168">
                  <c:v>25.369284088958409</c:v>
                </c:pt>
                <c:pt idx="169">
                  <c:v>25.375795965219936</c:v>
                </c:pt>
                <c:pt idx="170">
                  <c:v>25.382276781316421</c:v>
                </c:pt>
                <c:pt idx="171">
                  <c:v>25.388726867807236</c:v>
                </c:pt>
                <c:pt idx="172">
                  <c:v>25.395146549818037</c:v>
                </c:pt>
                <c:pt idx="173">
                  <c:v>25.40153614716121</c:v>
                </c:pt>
                <c:pt idx="174">
                  <c:v>25.40789597445297</c:v>
                </c:pt>
                <c:pt idx="175">
                  <c:v>25.41422634122722</c:v>
                </c:pt>
                <c:pt idx="176">
                  <c:v>25.42052755204611</c:v>
                </c:pt>
                <c:pt idx="177">
                  <c:v>25.426799906607812</c:v>
                </c:pt>
                <c:pt idx="178">
                  <c:v>25.433043699851282</c:v>
                </c:pt>
                <c:pt idx="179">
                  <c:v>25.439259222058183</c:v>
                </c:pt>
                <c:pt idx="180">
                  <c:v>25.445446758951846</c:v>
                </c:pt>
                <c:pt idx="181">
                  <c:v>25.451606591794189</c:v>
                </c:pt>
                <c:pt idx="182">
                  <c:v>25.457738997479339</c:v>
                </c:pt>
                <c:pt idx="183">
                  <c:v>25.463844248625264</c:v>
                </c:pt>
                <c:pt idx="184">
                  <c:v>25.469922613662732</c:v>
                </c:pt>
                <c:pt idx="185">
                  <c:v>25.475974356922165</c:v>
                </c:pt>
                <c:pt idx="186">
                  <c:v>25.481999738718059</c:v>
                </c:pt>
                <c:pt idx="187">
                  <c:v>25.487999015431342</c:v>
                </c:pt>
                <c:pt idx="188">
                  <c:v>25.493972439589356</c:v>
                </c:pt>
                <c:pt idx="189">
                  <c:v>25.499920259944304</c:v>
                </c:pt>
                <c:pt idx="190">
                  <c:v>25.505842721549186</c:v>
                </c:pt>
                <c:pt idx="191">
                  <c:v>25.511740065831873</c:v>
                </c:pt>
                <c:pt idx="192">
                  <c:v>25.517612530667805</c:v>
                </c:pt>
                <c:pt idx="193">
                  <c:v>25.523460350450193</c:v>
                </c:pt>
                <c:pt idx="194">
                  <c:v>25.529283756159032</c:v>
                </c:pt>
                <c:pt idx="195">
                  <c:v>25.53508297542794</c:v>
                </c:pt>
                <c:pt idx="196">
                  <c:v>25.540858232609651</c:v>
                </c:pt>
                <c:pt idx="197">
                  <c:v>25.546609748839956</c:v>
                </c:pt>
                <c:pt idx="198">
                  <c:v>25.55233774209978</c:v>
                </c:pt>
                <c:pt idx="199">
                  <c:v>25.558042427275893</c:v>
                </c:pt>
                <c:pt idx="200">
                  <c:v>25.563724016220306</c:v>
                </c:pt>
                <c:pt idx="201">
                  <c:v>25.569382717807969</c:v>
                </c:pt>
                <c:pt idx="202">
                  <c:v>25.575018737993446</c:v>
                </c:pt>
                <c:pt idx="203">
                  <c:v>25.580632279865654</c:v>
                </c:pt>
                <c:pt idx="204">
                  <c:v>25.586223543701976</c:v>
                </c:pt>
                <c:pt idx="205">
                  <c:v>25.591792727020788</c:v>
                </c:pt>
                <c:pt idx="206">
                  <c:v>25.597340024632501</c:v>
                </c:pt>
                <c:pt idx="207">
                  <c:v>25.602865628689869</c:v>
                </c:pt>
                <c:pt idx="208">
                  <c:v>25.608369728736932</c:v>
                </c:pt>
                <c:pt idx="209">
                  <c:v>25.613852511756647</c:v>
                </c:pt>
                <c:pt idx="210">
                  <c:v>25.619314162217847</c:v>
                </c:pt>
                <c:pt idx="211">
                  <c:v>25.624754862120653</c:v>
                </c:pt>
                <c:pt idx="212">
                  <c:v>25.6301747910411</c:v>
                </c:pt>
                <c:pt idx="213">
                  <c:v>25.635574126174845</c:v>
                </c:pt>
                <c:pt idx="214">
                  <c:v>25.640953042379692</c:v>
                </c:pt>
                <c:pt idx="215">
                  <c:v>25.646311712217084</c:v>
                </c:pt>
                <c:pt idx="216">
                  <c:v>25.65165030599303</c:v>
                </c:pt>
                <c:pt idx="217">
                  <c:v>25.656968991797839</c:v>
                </c:pt>
                <c:pt idx="218">
                  <c:v>25.662267935544889</c:v>
                </c:pt>
                <c:pt idx="219">
                  <c:v>25.667547301008995</c:v>
                </c:pt>
                <c:pt idx="220">
                  <c:v>25.672807249863297</c:v>
                </c:pt>
                <c:pt idx="221">
                  <c:v>25.678047941715761</c:v>
                </c:pt>
                <c:pt idx="222">
                  <c:v>25.683269534144927</c:v>
                </c:pt>
                <c:pt idx="223">
                  <c:v>25.688472182734756</c:v>
                </c:pt>
                <c:pt idx="224">
                  <c:v>25.693656041108397</c:v>
                </c:pt>
                <c:pt idx="225">
                  <c:v>25.698821260962006</c:v>
                </c:pt>
                <c:pt idx="226">
                  <c:v>25.703967992096977</c:v>
                </c:pt>
                <c:pt idx="227">
                  <c:v>25.709096382452174</c:v>
                </c:pt>
                <c:pt idx="228">
                  <c:v>25.714206578135077</c:v>
                </c:pt>
                <c:pt idx="229">
                  <c:v>25.719298723452425</c:v>
                </c:pt>
                <c:pt idx="230">
                  <c:v>25.724372960940229</c:v>
                </c:pt>
                <c:pt idx="231">
                  <c:v>25.72942943139293</c:v>
                </c:pt>
                <c:pt idx="232">
                  <c:v>25.734468273892389</c:v>
                </c:pt>
                <c:pt idx="233">
                  <c:v>25.739489625835859</c:v>
                </c:pt>
                <c:pt idx="234">
                  <c:v>25.744493622963603</c:v>
                </c:pt>
                <c:pt idx="235">
                  <c:v>25.749480399385789</c:v>
                </c:pt>
                <c:pt idx="236">
                  <c:v>25.75445008760903</c:v>
                </c:pt>
                <c:pt idx="237">
                  <c:v>25.759402818562251</c:v>
                </c:pt>
                <c:pt idx="238">
                  <c:v>25.764338721622096</c:v>
                </c:pt>
                <c:pt idx="239">
                  <c:v>25.769257924637657</c:v>
                </c:pt>
                <c:pt idx="240">
                  <c:v>25.774160553954914</c:v>
                </c:pt>
                <c:pt idx="241">
                  <c:v>25.779046734440612</c:v>
                </c:pt>
                <c:pt idx="242">
                  <c:v>25.783916589505736</c:v>
                </c:pt>
                <c:pt idx="243">
                  <c:v>25.788770241128134</c:v>
                </c:pt>
                <c:pt idx="244">
                  <c:v>25.793607809875482</c:v>
                </c:pt>
                <c:pt idx="245">
                  <c:v>25.798429414926773</c:v>
                </c:pt>
                <c:pt idx="246">
                  <c:v>25.803235174094311</c:v>
                </c:pt>
                <c:pt idx="247">
                  <c:v>25.808025203844693</c:v>
                </c:pt>
                <c:pt idx="248">
                  <c:v>25.812799619319662</c:v>
                </c:pt>
                <c:pt idx="249">
                  <c:v>25.817558534356408</c:v>
                </c:pt>
                <c:pt idx="250">
                  <c:v>25.822302061507514</c:v>
                </c:pt>
                <c:pt idx="251">
                  <c:v>25.827030312060685</c:v>
                </c:pt>
                <c:pt idx="252">
                  <c:v>25.831743396057675</c:v>
                </c:pt>
                <c:pt idx="253">
                  <c:v>25.836441422313499</c:v>
                </c:pt>
                <c:pt idx="254">
                  <c:v>25.84112449843451</c:v>
                </c:pt>
                <c:pt idx="255">
                  <c:v>25.845792730836934</c:v>
                </c:pt>
                <c:pt idx="256">
                  <c:v>25.850446224764312</c:v>
                </c:pt>
                <c:pt idx="257">
                  <c:v>25.855085084305131</c:v>
                </c:pt>
                <c:pt idx="258">
                  <c:v>25.859709412409927</c:v>
                </c:pt>
                <c:pt idx="259">
                  <c:v>25.864319310908115</c:v>
                </c:pt>
                <c:pt idx="260">
                  <c:v>25.868914880524414</c:v>
                </c:pt>
                <c:pt idx="261">
                  <c:v>25.873496220895106</c:v>
                </c:pt>
                <c:pt idx="262">
                  <c:v>25.878063430583893</c:v>
                </c:pt>
                <c:pt idx="263">
                  <c:v>25.882616607097532</c:v>
                </c:pt>
                <c:pt idx="264">
                  <c:v>25.887155846901067</c:v>
                </c:pt>
                <c:pt idx="265">
                  <c:v>25.891681245433006</c:v>
                </c:pt>
                <c:pt idx="266">
                  <c:v>25.896192897119874</c:v>
                </c:pt>
                <c:pt idx="267">
                  <c:v>25.900690895390937</c:v>
                </c:pt>
                <c:pt idx="268">
                  <c:v>25.905175332692352</c:v>
                </c:pt>
                <c:pt idx="269">
                  <c:v>25.909646300501038</c:v>
                </c:pt>
                <c:pt idx="270">
                  <c:v>25.914103889338605</c:v>
                </c:pt>
                <c:pt idx="271">
                  <c:v>25.918548188784598</c:v>
                </c:pt>
                <c:pt idx="272">
                  <c:v>25.922979287490023</c:v>
                </c:pt>
                <c:pt idx="273">
                  <c:v>25.927397273190081</c:v>
                </c:pt>
                <c:pt idx="274">
                  <c:v>25.931802232717132</c:v>
                </c:pt>
                <c:pt idx="275">
                  <c:v>25.936194252013138</c:v>
                </c:pt>
                <c:pt idx="276">
                  <c:v>25.940573416142229</c:v>
                </c:pt>
                <c:pt idx="277">
                  <c:v>25.944939809302468</c:v>
                </c:pt>
                <c:pt idx="278">
                  <c:v>25.949293514838018</c:v>
                </c:pt>
                <c:pt idx="279">
                  <c:v>25.953634615250735</c:v>
                </c:pt>
                <c:pt idx="280">
                  <c:v>25.957963192211878</c:v>
                </c:pt>
                <c:pt idx="281">
                  <c:v>25.962279326573025</c:v>
                </c:pt>
                <c:pt idx="282">
                  <c:v>25.966583098377555</c:v>
                </c:pt>
                <c:pt idx="283">
                  <c:v>25.970874586871446</c:v>
                </c:pt>
                <c:pt idx="284">
                  <c:v>25.97515387051385</c:v>
                </c:pt>
                <c:pt idx="285">
                  <c:v>25.97942102698795</c:v>
                </c:pt>
                <c:pt idx="286">
                  <c:v>25.983676133211077</c:v>
                </c:pt>
                <c:pt idx="287">
                  <c:v>25.987919265345113</c:v>
                </c:pt>
                <c:pt idx="288">
                  <c:v>25.992150498806268</c:v>
                </c:pt>
                <c:pt idx="289">
                  <c:v>25.996369908275312</c:v>
                </c:pt>
                <c:pt idx="290">
                  <c:v>26.000577567706841</c:v>
                </c:pt>
                <c:pt idx="291">
                  <c:v>26.004773550339223</c:v>
                </c:pt>
                <c:pt idx="292">
                  <c:v>26.008957928703694</c:v>
                </c:pt>
                <c:pt idx="293">
                  <c:v>26.01313077463368</c:v>
                </c:pt>
                <c:pt idx="294">
                  <c:v>26.017292159273893</c:v>
                </c:pt>
                <c:pt idx="295">
                  <c:v>26.021442153089254</c:v>
                </c:pt>
                <c:pt idx="296">
                  <c:v>26.025580825873647</c:v>
                </c:pt>
                <c:pt idx="297">
                  <c:v>26.029708246758616</c:v>
                </c:pt>
                <c:pt idx="298">
                  <c:v>26.033824484221725</c:v>
                </c:pt>
                <c:pt idx="299">
                  <c:v>26.037929606095076</c:v>
                </c:pt>
                <c:pt idx="300">
                  <c:v>26.042023679573504</c:v>
                </c:pt>
                <c:pt idx="301">
                  <c:v>26.046106771222469</c:v>
                </c:pt>
                <c:pt idx="302">
                  <c:v>26.050178946986421</c:v>
                </c:pt>
                <c:pt idx="303">
                  <c:v>26.054240272196239</c:v>
                </c:pt>
                <c:pt idx="304">
                  <c:v>26.058290811577137</c:v>
                </c:pt>
                <c:pt idx="305">
                  <c:v>26.062330629256394</c:v>
                </c:pt>
                <c:pt idx="306">
                  <c:v>26.066359788770342</c:v>
                </c:pt>
                <c:pt idx="307">
                  <c:v>26.070378353072385</c:v>
                </c:pt>
                <c:pt idx="308">
                  <c:v>26.07438638453965</c:v>
                </c:pt>
                <c:pt idx="309">
                  <c:v>26.078383944980487</c:v>
                </c:pt>
                <c:pt idx="310">
                  <c:v>26.082371095641292</c:v>
                </c:pt>
                <c:pt idx="311">
                  <c:v>26.086347897213557</c:v>
                </c:pt>
                <c:pt idx="312">
                  <c:v>26.09031440984046</c:v>
                </c:pt>
                <c:pt idx="313">
                  <c:v>26.094270693123747</c:v>
                </c:pt>
                <c:pt idx="314">
                  <c:v>26.098216806130324</c:v>
                </c:pt>
                <c:pt idx="315">
                  <c:v>26.102152807398625</c:v>
                </c:pt>
                <c:pt idx="316">
                  <c:v>26.106078754945088</c:v>
                </c:pt>
                <c:pt idx="317">
                  <c:v>26.109994706270413</c:v>
                </c:pt>
                <c:pt idx="318">
                  <c:v>26.113900718365755</c:v>
                </c:pt>
                <c:pt idx="319">
                  <c:v>26.117796847718921</c:v>
                </c:pt>
                <c:pt idx="320">
                  <c:v>26.12168315032028</c:v>
                </c:pt>
                <c:pt idx="321">
                  <c:v>26.125559681668676</c:v>
                </c:pt>
                <c:pt idx="322">
                  <c:v>26.129426496777342</c:v>
                </c:pt>
                <c:pt idx="323">
                  <c:v>26.133283650179635</c:v>
                </c:pt>
                <c:pt idx="324">
                  <c:v>26.137131195934558</c:v>
                </c:pt>
                <c:pt idx="325">
                  <c:v>26.140969187632606</c:v>
                </c:pt>
                <c:pt idx="326">
                  <c:v>26.144797678400948</c:v>
                </c:pt>
                <c:pt idx="327">
                  <c:v>26.148616720909104</c:v>
                </c:pt>
                <c:pt idx="328">
                  <c:v>26.152426367374119</c:v>
                </c:pt>
                <c:pt idx="329">
                  <c:v>26.156226669565854</c:v>
                </c:pt>
                <c:pt idx="330">
                  <c:v>26.160017678812324</c:v>
                </c:pt>
                <c:pt idx="331">
                  <c:v>26.163799446004418</c:v>
                </c:pt>
                <c:pt idx="332">
                  <c:v>26.167572021601302</c:v>
                </c:pt>
                <c:pt idx="333">
                  <c:v>26.171335455635244</c:v>
                </c:pt>
                <c:pt idx="334">
                  <c:v>26.17508979771651</c:v>
                </c:pt>
                <c:pt idx="335">
                  <c:v>26.178835097038132</c:v>
                </c:pt>
                <c:pt idx="336">
                  <c:v>26.182571402380574</c:v>
                </c:pt>
                <c:pt idx="337">
                  <c:v>26.186298762116735</c:v>
                </c:pt>
                <c:pt idx="338">
                  <c:v>26.190017224216149</c:v>
                </c:pt>
                <c:pt idx="339">
                  <c:v>26.193726836249823</c:v>
                </c:pt>
                <c:pt idx="340">
                  <c:v>26.197427645394612</c:v>
                </c:pt>
                <c:pt idx="341">
                  <c:v>26.201119698437594</c:v>
                </c:pt>
                <c:pt idx="342">
                  <c:v>26.204803041780508</c:v>
                </c:pt>
                <c:pt idx="343">
                  <c:v>26.208477721443955</c:v>
                </c:pt>
                <c:pt idx="344">
                  <c:v>26.212143783071838</c:v>
                </c:pt>
                <c:pt idx="345">
                  <c:v>26.21580127193522</c:v>
                </c:pt>
                <c:pt idx="346">
                  <c:v>26.219450232936595</c:v>
                </c:pt>
                <c:pt idx="347">
                  <c:v>26.223090710614088</c:v>
                </c:pt>
                <c:pt idx="348">
                  <c:v>26.226722749145267</c:v>
                </c:pt>
                <c:pt idx="349">
                  <c:v>26.230346392351009</c:v>
                </c:pt>
                <c:pt idx="350">
                  <c:v>26.233961683699818</c:v>
                </c:pt>
                <c:pt idx="351">
                  <c:v>26.23756866631112</c:v>
                </c:pt>
                <c:pt idx="352">
                  <c:v>26.241167382959361</c:v>
                </c:pt>
                <c:pt idx="353">
                  <c:v>26.244757876077756</c:v>
                </c:pt>
                <c:pt idx="354">
                  <c:v>26.248340187761869</c:v>
                </c:pt>
                <c:pt idx="355">
                  <c:v>26.251914359773252</c:v>
                </c:pt>
                <c:pt idx="356">
                  <c:v>26.255480433543084</c:v>
                </c:pt>
                <c:pt idx="357">
                  <c:v>26.259038450175638</c:v>
                </c:pt>
                <c:pt idx="358">
                  <c:v>26.262588450451915</c:v>
                </c:pt>
                <c:pt idx="359">
                  <c:v>26.266130474832835</c:v>
                </c:pt>
                <c:pt idx="360">
                  <c:v>26.269664563462868</c:v>
                </c:pt>
                <c:pt idx="361">
                  <c:v>26.273190756173221</c:v>
                </c:pt>
                <c:pt idx="362">
                  <c:v>26.276709092485419</c:v>
                </c:pt>
                <c:pt idx="363">
                  <c:v>26.280219611614029</c:v>
                </c:pt>
                <c:pt idx="364">
                  <c:v>26.283722352470534</c:v>
                </c:pt>
                <c:pt idx="365">
                  <c:v>26.287217353665994</c:v>
                </c:pt>
                <c:pt idx="366">
                  <c:v>26.29070465351441</c:v>
                </c:pt>
                <c:pt idx="367">
                  <c:v>26.294184290035844</c:v>
                </c:pt>
                <c:pt idx="368">
                  <c:v>26.297656300959318</c:v>
                </c:pt>
                <c:pt idx="369">
                  <c:v>26.301120723725944</c:v>
                </c:pt>
                <c:pt idx="370">
                  <c:v>26.304577595491878</c:v>
                </c:pt>
                <c:pt idx="371">
                  <c:v>26.308026953131275</c:v>
                </c:pt>
                <c:pt idx="372">
                  <c:v>26.311468833239076</c:v>
                </c:pt>
                <c:pt idx="373">
                  <c:v>26.314903272133961</c:v>
                </c:pt>
                <c:pt idx="374">
                  <c:v>26.318330305861252</c:v>
                </c:pt>
                <c:pt idx="375">
                  <c:v>26.321749970195469</c:v>
                </c:pt>
                <c:pt idx="376">
                  <c:v>26.325162300643228</c:v>
                </c:pt>
                <c:pt idx="377">
                  <c:v>26.328567332446084</c:v>
                </c:pt>
                <c:pt idx="378">
                  <c:v>26.331965100582863</c:v>
                </c:pt>
                <c:pt idx="379">
                  <c:v>26.335355639772615</c:v>
                </c:pt>
                <c:pt idx="380">
                  <c:v>26.338738984477118</c:v>
                </c:pt>
                <c:pt idx="381">
                  <c:v>26.342115168903433</c:v>
                </c:pt>
                <c:pt idx="382">
                  <c:v>26.345484227006523</c:v>
                </c:pt>
                <c:pt idx="383">
                  <c:v>26.348846192491635</c:v>
                </c:pt>
                <c:pt idx="384">
                  <c:v>26.352201098817034</c:v>
                </c:pt>
                <c:pt idx="385">
                  <c:v>26.355548979196044</c:v>
                </c:pt>
                <c:pt idx="386">
                  <c:v>26.358889866599952</c:v>
                </c:pt>
                <c:pt idx="387">
                  <c:v>26.362223793760052</c:v>
                </c:pt>
                <c:pt idx="388">
                  <c:v>26.365550793170144</c:v>
                </c:pt>
                <c:pt idx="389">
                  <c:v>26.368870897088755</c:v>
                </c:pt>
                <c:pt idx="390">
                  <c:v>26.372184137541694</c:v>
                </c:pt>
                <c:pt idx="391">
                  <c:v>26.375490546323931</c:v>
                </c:pt>
                <c:pt idx="392">
                  <c:v>26.378790155002378</c:v>
                </c:pt>
                <c:pt idx="393">
                  <c:v>26.382082994917539</c:v>
                </c:pt>
                <c:pt idx="394">
                  <c:v>26.385369097186015</c:v>
                </c:pt>
                <c:pt idx="395">
                  <c:v>26.388648492702714</c:v>
                </c:pt>
                <c:pt idx="396">
                  <c:v>26.391921212142904</c:v>
                </c:pt>
                <c:pt idx="397">
                  <c:v>26.395187285964141</c:v>
                </c:pt>
                <c:pt idx="398">
                  <c:v>26.398446744408716</c:v>
                </c:pt>
                <c:pt idx="399">
                  <c:v>26.401699617505471</c:v>
                </c:pt>
                <c:pt idx="400">
                  <c:v>26.404945935071851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DC-4BB4-9642-62A306BE969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(MATLAB)'!$E$2:$E$402</c:f>
              <c:numCache>
                <c:formatCode>General</c:formatCode>
                <c:ptCount val="401"/>
                <c:pt idx="0">
                  <c:v>21.136070730296638</c:v>
                </c:pt>
                <c:pt idx="1">
                  <c:v>21.3728884556254</c:v>
                </c:pt>
                <c:pt idx="2">
                  <c:v>21.635683279199895</c:v>
                </c:pt>
                <c:pt idx="3">
                  <c:v>21.802676601807093</c:v>
                </c:pt>
                <c:pt idx="4">
                  <c:v>21.927701184806949</c:v>
                </c:pt>
                <c:pt idx="5">
                  <c:v>22.028689929317181</c:v>
                </c:pt>
                <c:pt idx="6">
                  <c:v>22.113953517260427</c:v>
                </c:pt>
                <c:pt idx="7">
                  <c:v>22.188061430554058</c:v>
                </c:pt>
                <c:pt idx="8">
                  <c:v>22.253809866414485</c:v>
                </c:pt>
                <c:pt idx="9">
                  <c:v>22.313041117797695</c:v>
                </c:pt>
                <c:pt idx="10">
                  <c:v>22.367036713737718</c:v>
                </c:pt>
                <c:pt idx="11">
                  <c:v>22.416726029411507</c:v>
                </c:pt>
                <c:pt idx="12">
                  <c:v>22.462805678088728</c:v>
                </c:pt>
                <c:pt idx="13">
                  <c:v>22.505812002769574</c:v>
                </c:pt>
                <c:pt idx="14">
                  <c:v>22.546167235418693</c:v>
                </c:pt>
                <c:pt idx="15">
                  <c:v>22.584210062571344</c:v>
                </c:pt>
                <c:pt idx="16">
                  <c:v>22.620216540457363</c:v>
                </c:pt>
                <c:pt idx="17">
                  <c:v>22.654414811863205</c:v>
                </c:pt>
                <c:pt idx="18">
                  <c:v>22.686995713770102</c:v>
                </c:pt>
                <c:pt idx="19">
                  <c:v>22.718120585022461</c:v>
                </c:pt>
                <c:pt idx="20">
                  <c:v>22.747927119900112</c:v>
                </c:pt>
                <c:pt idx="21">
                  <c:v>22.776533828846198</c:v>
                </c:pt>
                <c:pt idx="22">
                  <c:v>22.804043487617264</c:v>
                </c:pt>
                <c:pt idx="23">
                  <c:v>22.830545839339038</c:v>
                </c:pt>
                <c:pt idx="24">
                  <c:v>22.856119736416986</c:v>
                </c:pt>
                <c:pt idx="25">
                  <c:v>22.880834856700517</c:v>
                </c:pt>
                <c:pt idx="26">
                  <c:v>22.904753092014573</c:v>
                </c:pt>
                <c:pt idx="27">
                  <c:v>22.927929681691182</c:v>
                </c:pt>
                <c:pt idx="28">
                  <c:v>22.950414145559705</c:v>
                </c:pt>
                <c:pt idx="29">
                  <c:v>22.972251057710992</c:v>
                </c:pt>
                <c:pt idx="30">
                  <c:v>22.993480692719515</c:v>
                </c:pt>
                <c:pt idx="31">
                  <c:v>23.014139568863925</c:v>
                </c:pt>
                <c:pt idx="32">
                  <c:v>23.034260907531859</c:v>
                </c:pt>
                <c:pt idx="33">
                  <c:v>23.053875023937735</c:v>
                </c:pt>
                <c:pt idx="34">
                  <c:v>23.07300966117873</c:v>
                </c:pt>
                <c:pt idx="35">
                  <c:v>23.091690277259374</c:v>
                </c:pt>
                <c:pt idx="36">
                  <c:v>23.109940292852798</c:v>
                </c:pt>
                <c:pt idx="37">
                  <c:v>23.127781306102975</c:v>
                </c:pt>
                <c:pt idx="38">
                  <c:v>23.145233279620754</c:v>
                </c:pt>
                <c:pt idx="39">
                  <c:v>23.162314703904372</c:v>
                </c:pt>
                <c:pt idx="40">
                  <c:v>23.179042740682632</c:v>
                </c:pt>
                <c:pt idx="41">
                  <c:v>23.195433349084226</c:v>
                </c:pt>
                <c:pt idx="42">
                  <c:v>23.21150139705793</c:v>
                </c:pt>
                <c:pt idx="43">
                  <c:v>23.227260760074728</c:v>
                </c:pt>
                <c:pt idx="44">
                  <c:v>23.242724408826007</c:v>
                </c:pt>
                <c:pt idx="45">
                  <c:v>23.257904487363703</c:v>
                </c:pt>
                <c:pt idx="46">
                  <c:v>23.272812382913628</c:v>
                </c:pt>
                <c:pt idx="47">
                  <c:v>23.287458788409538</c:v>
                </c:pt>
                <c:pt idx="48">
                  <c:v>23.301853758645336</c:v>
                </c:pt>
                <c:pt idx="49">
                  <c:v>23.316006760815071</c:v>
                </c:pt>
                <c:pt idx="50">
                  <c:v>23.329926720104709</c:v>
                </c:pt>
                <c:pt idx="51">
                  <c:v>23.343622060908785</c:v>
                </c:pt>
                <c:pt idx="52">
                  <c:v>23.357100744168747</c:v>
                </c:pt>
                <c:pt idx="53">
                  <c:v>23.37037030126578</c:v>
                </c:pt>
                <c:pt idx="54">
                  <c:v>23.383437864844382</c:v>
                </c:pt>
                <c:pt idx="55">
                  <c:v>23.396310196895911</c:v>
                </c:pt>
                <c:pt idx="56">
                  <c:v>23.408993714391784</c:v>
                </c:pt>
                <c:pt idx="57">
                  <c:v>23.421494512718823</c:v>
                </c:pt>
                <c:pt idx="58">
                  <c:v>23.433818387140775</c:v>
                </c:pt>
                <c:pt idx="59">
                  <c:v>23.445970852483811</c:v>
                </c:pt>
                <c:pt idx="60">
                  <c:v>23.45795716121961</c:v>
                </c:pt>
                <c:pt idx="61">
                  <c:v>23.469782320101331</c:v>
                </c:pt>
                <c:pt idx="62">
                  <c:v>23.481451105490009</c:v>
                </c:pt>
                <c:pt idx="63">
                  <c:v>23.492968077494254</c:v>
                </c:pt>
                <c:pt idx="64">
                  <c:v>23.504337593031437</c:v>
                </c:pt>
                <c:pt idx="65">
                  <c:v>23.515563817909253</c:v>
                </c:pt>
                <c:pt idx="66">
                  <c:v>23.526650738014155</c:v>
                </c:pt>
                <c:pt idx="67">
                  <c:v>23.537602169686124</c:v>
                </c:pt>
                <c:pt idx="68">
                  <c:v>23.54842176934909</c:v>
                </c:pt>
                <c:pt idx="69">
                  <c:v>23.55911304246132</c:v>
                </c:pt>
                <c:pt idx="70">
                  <c:v>23.569679351842638</c:v>
                </c:pt>
                <c:pt idx="71">
                  <c:v>23.5801239254302</c:v>
                </c:pt>
                <c:pt idx="72">
                  <c:v>23.590449863509662</c:v>
                </c:pt>
                <c:pt idx="73">
                  <c:v>23.60066014546311</c:v>
                </c:pt>
                <c:pt idx="74">
                  <c:v>23.61075763607414</c:v>
                </c:pt>
                <c:pt idx="75">
                  <c:v>23.620745091422179</c:v>
                </c:pt>
                <c:pt idx="76">
                  <c:v>23.630625164400385</c:v>
                </c:pt>
                <c:pt idx="77">
                  <c:v>23.640400409883796</c:v>
                </c:pt>
                <c:pt idx="78">
                  <c:v>23.650073289575516</c:v>
                </c:pt>
                <c:pt idx="79">
                  <c:v>23.659646176554133</c:v>
                </c:pt>
                <c:pt idx="80">
                  <c:v>23.669121359544761</c:v>
                </c:pt>
                <c:pt idx="81">
                  <c:v>23.678501046932922</c:v>
                </c:pt>
                <c:pt idx="82">
                  <c:v>23.687787370541173</c:v>
                </c:pt>
                <c:pt idx="83">
                  <c:v>23.696982389183574</c:v>
                </c:pt>
                <c:pt idx="84">
                  <c:v>23.706088092015079</c:v>
                </c:pt>
                <c:pt idx="85">
                  <c:v>23.715106401688558</c:v>
                </c:pt>
                <c:pt idx="86">
                  <c:v>23.724039177333964</c:v>
                </c:pt>
                <c:pt idx="87">
                  <c:v>23.732888217370601</c:v>
                </c:pt>
                <c:pt idx="88">
                  <c:v>23.741655262164272</c:v>
                </c:pt>
                <c:pt idx="89">
                  <c:v>23.750341996538964</c:v>
                </c:pt>
                <c:pt idx="90">
                  <c:v>23.758950052153523</c:v>
                </c:pt>
                <c:pt idx="91">
                  <c:v>23.767481009750497</c:v>
                </c:pt>
                <c:pt idx="92">
                  <c:v>23.775936401287197</c:v>
                </c:pt>
                <c:pt idx="93">
                  <c:v>23.784317711954486</c:v>
                </c:pt>
                <c:pt idx="94">
                  <c:v>23.79262638209201</c:v>
                </c:pt>
                <c:pt idx="95">
                  <c:v>23.800863809004795</c:v>
                </c:pt>
                <c:pt idx="96">
                  <c:v>23.80903134868862</c:v>
                </c:pt>
                <c:pt idx="97">
                  <c:v>23.817130317468411</c:v>
                </c:pt>
                <c:pt idx="98">
                  <c:v>23.825161993555639</c:v>
                </c:pt>
                <c:pt idx="99">
                  <c:v>23.833127618529545</c:v>
                </c:pt>
                <c:pt idx="100">
                  <c:v>23.841028398746175</c:v>
                </c:pt>
                <c:pt idx="101">
                  <c:v>23.848865506679658</c:v>
                </c:pt>
                <c:pt idx="102">
                  <c:v>23.856640082199874</c:v>
                </c:pt>
                <c:pt idx="103">
                  <c:v>23.8643532337897</c:v>
                </c:pt>
                <c:pt idx="104">
                  <c:v>23.872006039705525</c:v>
                </c:pt>
                <c:pt idx="105">
                  <c:v>23.879599549084105</c:v>
                </c:pt>
                <c:pt idx="106">
                  <c:v>23.887134782998714</c:v>
                </c:pt>
                <c:pt idx="107">
                  <c:v>23.894612735467547</c:v>
                </c:pt>
                <c:pt idx="108">
                  <c:v>23.902034374416473</c:v>
                </c:pt>
                <c:pt idx="109">
                  <c:v>23.909400642599337</c:v>
                </c:pt>
                <c:pt idx="110">
                  <c:v>23.916712458477434</c:v>
                </c:pt>
                <c:pt idx="111">
                  <c:v>23.923970717060399</c:v>
                </c:pt>
                <c:pt idx="112">
                  <c:v>23.931176290711221</c:v>
                </c:pt>
                <c:pt idx="113">
                  <c:v>23.93833002991596</c:v>
                </c:pt>
                <c:pt idx="114">
                  <c:v>23.945432764021348</c:v>
                </c:pt>
                <c:pt idx="115">
                  <c:v>23.952485301940897</c:v>
                </c:pt>
                <c:pt idx="116">
                  <c:v>23.95948843283179</c:v>
                </c:pt>
                <c:pt idx="117">
                  <c:v>23.966442926743241</c:v>
                </c:pt>
                <c:pt idx="118">
                  <c:v>23.973349535238754</c:v>
                </c:pt>
                <c:pt idx="119">
                  <c:v>23.980208991992811</c:v>
                </c:pt>
                <c:pt idx="120">
                  <c:v>23.98702201336323</c:v>
                </c:pt>
                <c:pt idx="121">
                  <c:v>23.993789298940783</c:v>
                </c:pt>
                <c:pt idx="122">
                  <c:v>24.000511532077326</c:v>
                </c:pt>
                <c:pt idx="123">
                  <c:v>24.007189380392333</c:v>
                </c:pt>
                <c:pt idx="124">
                  <c:v>24.013823496260159</c:v>
                </c:pt>
                <c:pt idx="125">
                  <c:v>24.020414517278653</c:v>
                </c:pt>
                <c:pt idx="126">
                  <c:v>24.026963066718793</c:v>
                </c:pt>
                <c:pt idx="127">
                  <c:v>24.0334697539584</c:v>
                </c:pt>
                <c:pt idx="128">
                  <c:v>24.039935174898233</c:v>
                </c:pt>
                <c:pt idx="129">
                  <c:v>24.046359912363528</c:v>
                </c:pt>
                <c:pt idx="130">
                  <c:v>24.052744536489627</c:v>
                </c:pt>
                <c:pt idx="131">
                  <c:v>24.059089605094073</c:v>
                </c:pt>
                <c:pt idx="132">
                  <c:v>24.065395664034554</c:v>
                </c:pt>
                <c:pt idx="133">
                  <c:v>24.071663247554284</c:v>
                </c:pt>
                <c:pt idx="134">
                  <c:v>24.077892878614136</c:v>
                </c:pt>
                <c:pt idx="135">
                  <c:v>24.08408506921387</c:v>
                </c:pt>
                <c:pt idx="136">
                  <c:v>24.090240320701071</c:v>
                </c:pt>
                <c:pt idx="137">
                  <c:v>24.096359124069522</c:v>
                </c:pt>
                <c:pt idx="138">
                  <c:v>24.102441960247063</c:v>
                </c:pt>
                <c:pt idx="139">
                  <c:v>24.108489300373492</c:v>
                </c:pt>
                <c:pt idx="140">
                  <c:v>24.114501606068814</c:v>
                </c:pt>
                <c:pt idx="141">
                  <c:v>24.120479329692046</c:v>
                </c:pt>
                <c:pt idx="142">
                  <c:v>24.126422914591444</c:v>
                </c:pt>
                <c:pt idx="143">
                  <c:v>24.132332795346429</c:v>
                </c:pt>
                <c:pt idx="144">
                  <c:v>24.138209398000868</c:v>
                </c:pt>
                <c:pt idx="145">
                  <c:v>24.144053140288975</c:v>
                </c:pt>
                <c:pt idx="146">
                  <c:v>24.149864431853587</c:v>
                </c:pt>
                <c:pt idx="147">
                  <c:v>24.155643674457224</c:v>
                </c:pt>
                <c:pt idx="148">
                  <c:v>24.161391262186385</c:v>
                </c:pt>
                <c:pt idx="149">
                  <c:v>24.167107581648906</c:v>
                </c:pt>
                <c:pt idx="150">
                  <c:v>24.172793012165243</c:v>
                </c:pt>
                <c:pt idx="151">
                  <c:v>24.178447925953549</c:v>
                </c:pt>
                <c:pt idx="152">
                  <c:v>24.184072688308902</c:v>
                </c:pt>
                <c:pt idx="153">
                  <c:v>24.189667657776511</c:v>
                </c:pt>
                <c:pt idx="154">
                  <c:v>24.195233186320024</c:v>
                </c:pt>
                <c:pt idx="155">
                  <c:v>24.20076961948422</c:v>
                </c:pt>
                <c:pt idx="156">
                  <c:v>24.206277296552685</c:v>
                </c:pt>
                <c:pt idx="157">
                  <c:v>24.211756550700841</c:v>
                </c:pt>
                <c:pt idx="158">
                  <c:v>24.217207709143906</c:v>
                </c:pt>
                <c:pt idx="159">
                  <c:v>24.222631093280825</c:v>
                </c:pt>
                <c:pt idx="160">
                  <c:v>24.228027018833473</c:v>
                </c:pt>
                <c:pt idx="161">
                  <c:v>24.233395795981721</c:v>
                </c:pt>
                <c:pt idx="162">
                  <c:v>24.238737729494744</c:v>
                </c:pt>
                <c:pt idx="163">
                  <c:v>24.244053118858176</c:v>
                </c:pt>
                <c:pt idx="164">
                  <c:v>24.249342258397348</c:v>
                </c:pt>
                <c:pt idx="165">
                  <c:v>24.254605437397458</c:v>
                </c:pt>
                <c:pt idx="166">
                  <c:v>24.259842940219812</c:v>
                </c:pt>
                <c:pt idx="167">
                  <c:v>24.265055046414716</c:v>
                </c:pt>
                <c:pt idx="168">
                  <c:v>24.270242030831298</c:v>
                </c:pt>
                <c:pt idx="169">
                  <c:v>24.27540416372409</c:v>
                </c:pt>
                <c:pt idx="170">
                  <c:v>24.280541710856426</c:v>
                </c:pt>
                <c:pt idx="171">
                  <c:v>24.285654933601336</c:v>
                </c:pt>
                <c:pt idx="172">
                  <c:v>24.290744089039151</c:v>
                </c:pt>
                <c:pt idx="173">
                  <c:v>24.2958094300526</c:v>
                </c:pt>
                <c:pt idx="174">
                  <c:v>24.300851205419292</c:v>
                </c:pt>
                <c:pt idx="175">
                  <c:v>24.305869659901475</c:v>
                </c:pt>
                <c:pt idx="176">
                  <c:v>24.31086503433346</c:v>
                </c:pt>
                <c:pt idx="177">
                  <c:v>24.315837565706772</c:v>
                </c:pt>
                <c:pt idx="178">
                  <c:v>24.320787487252574</c:v>
                </c:pt>
                <c:pt idx="179">
                  <c:v>24.325715028522382</c:v>
                </c:pt>
                <c:pt idx="180">
                  <c:v>24.330620415466171</c:v>
                </c:pt>
                <c:pt idx="181">
                  <c:v>24.33550387050883</c:v>
                </c:pt>
                <c:pt idx="182">
                  <c:v>24.340365612623998</c:v>
                </c:pt>
                <c:pt idx="183">
                  <c:v>24.345205857406597</c:v>
                </c:pt>
                <c:pt idx="184">
                  <c:v>24.350024817143094</c:v>
                </c:pt>
                <c:pt idx="185">
                  <c:v>24.354822700879765</c:v>
                </c:pt>
                <c:pt idx="186">
                  <c:v>24.359599714489775</c:v>
                </c:pt>
                <c:pt idx="187">
                  <c:v>24.364356060737748</c:v>
                </c:pt>
                <c:pt idx="188">
                  <c:v>24.369091939343434</c:v>
                </c:pt>
                <c:pt idx="189">
                  <c:v>24.37380754704327</c:v>
                </c:pt>
                <c:pt idx="190">
                  <c:v>24.37850307765035</c:v>
                </c:pt>
                <c:pt idx="191">
                  <c:v>24.383178722113314</c:v>
                </c:pt>
                <c:pt idx="192">
                  <c:v>24.387834668573248</c:v>
                </c:pt>
                <c:pt idx="193">
                  <c:v>24.392471102419393</c:v>
                </c:pt>
                <c:pt idx="194">
                  <c:v>24.397088206343653</c:v>
                </c:pt>
                <c:pt idx="195">
                  <c:v>24.401686160393297</c:v>
                </c:pt>
                <c:pt idx="196">
                  <c:v>24.406265142022789</c:v>
                </c:pt>
                <c:pt idx="197">
                  <c:v>24.410825326144106</c:v>
                </c:pt>
                <c:pt idx="198">
                  <c:v>24.415366885175786</c:v>
                </c:pt>
                <c:pt idx="199">
                  <c:v>24.419889989091246</c:v>
                </c:pt>
                <c:pt idx="200">
                  <c:v>24.424394805465113</c:v>
                </c:pt>
                <c:pt idx="201">
                  <c:v>24.428881499519264</c:v>
                </c:pt>
                <c:pt idx="202">
                  <c:v>24.433350234167222</c:v>
                </c:pt>
                <c:pt idx="203">
                  <c:v>24.43780117005781</c:v>
                </c:pt>
                <c:pt idx="204">
                  <c:v>24.442234465617503</c:v>
                </c:pt>
                <c:pt idx="205">
                  <c:v>24.446650277092033</c:v>
                </c:pt>
                <c:pt idx="206">
                  <c:v>24.451048758586865</c:v>
                </c:pt>
                <c:pt idx="207">
                  <c:v>24.4554300621067</c:v>
                </c:pt>
                <c:pt idx="208">
                  <c:v>24.459794337594246</c:v>
                </c:pt>
                <c:pt idx="209">
                  <c:v>24.46414173296796</c:v>
                </c:pt>
                <c:pt idx="210">
                  <c:v>24.46847239415888</c:v>
                </c:pt>
                <c:pt idx="211">
                  <c:v>24.472786465146726</c:v>
                </c:pt>
                <c:pt idx="212">
                  <c:v>24.477084087994911</c:v>
                </c:pt>
                <c:pt idx="213">
                  <c:v>24.481365402885388</c:v>
                </c:pt>
                <c:pt idx="214">
                  <c:v>24.48563054815196</c:v>
                </c:pt>
                <c:pt idx="215">
                  <c:v>24.489879660313193</c:v>
                </c:pt>
                <c:pt idx="216">
                  <c:v>24.494112874104701</c:v>
                </c:pt>
                <c:pt idx="217">
                  <c:v>24.49833032251064</c:v>
                </c:pt>
                <c:pt idx="218">
                  <c:v>24.502532136794173</c:v>
                </c:pt>
                <c:pt idx="219">
                  <c:v>24.506718446527771</c:v>
                </c:pt>
                <c:pt idx="220">
                  <c:v>24.51088937962254</c:v>
                </c:pt>
                <c:pt idx="221">
                  <c:v>24.51504506235699</c:v>
                </c:pt>
                <c:pt idx="222">
                  <c:v>24.519185619405221</c:v>
                </c:pt>
                <c:pt idx="223">
                  <c:v>24.523311173864386</c:v>
                </c:pt>
                <c:pt idx="224">
                  <c:v>24.52742184728146</c:v>
                </c:pt>
                <c:pt idx="225">
                  <c:v>24.531517759680128</c:v>
                </c:pt>
                <c:pt idx="226">
                  <c:v>24.535599029585853</c:v>
                </c:pt>
                <c:pt idx="227">
                  <c:v>24.539665774051741</c:v>
                </c:pt>
                <c:pt idx="228">
                  <c:v>24.543718108682867</c:v>
                </c:pt>
                <c:pt idx="229">
                  <c:v>24.547756147660664</c:v>
                </c:pt>
                <c:pt idx="230">
                  <c:v>24.551780003766453</c:v>
                </c:pt>
                <c:pt idx="231">
                  <c:v>24.555789788404752</c:v>
                </c:pt>
                <c:pt idx="232">
                  <c:v>24.559785611625898</c:v>
                </c:pt>
                <c:pt idx="233">
                  <c:v>24.56376758214833</c:v>
                </c:pt>
                <c:pt idx="234">
                  <c:v>24.567735807380302</c:v>
                </c:pt>
                <c:pt idx="235">
                  <c:v>24.571690393441315</c:v>
                </c:pt>
                <c:pt idx="236">
                  <c:v>24.575631445182808</c:v>
                </c:pt>
                <c:pt idx="237">
                  <c:v>24.579559066208787</c:v>
                </c:pt>
                <c:pt idx="238">
                  <c:v>24.583473358895958</c:v>
                </c:pt>
                <c:pt idx="239">
                  <c:v>24.587374424412985</c:v>
                </c:pt>
                <c:pt idx="240">
                  <c:v>24.591262362740224</c:v>
                </c:pt>
                <c:pt idx="241">
                  <c:v>24.595137272688191</c:v>
                </c:pt>
                <c:pt idx="242">
                  <c:v>24.598999251916325</c:v>
                </c:pt>
                <c:pt idx="243">
                  <c:v>24.602848396950947</c:v>
                </c:pt>
                <c:pt idx="244">
                  <c:v>24.606684803202938</c:v>
                </c:pt>
                <c:pt idx="245">
                  <c:v>24.610508564985366</c:v>
                </c:pt>
                <c:pt idx="246">
                  <c:v>24.614319775530589</c:v>
                </c:pt>
                <c:pt idx="247">
                  <c:v>24.618118527006573</c:v>
                </c:pt>
                <c:pt idx="248">
                  <c:v>24.621904910533772</c:v>
                </c:pt>
                <c:pt idx="249">
                  <c:v>24.625679016200991</c:v>
                </c:pt>
                <c:pt idx="250">
                  <c:v>24.629440933081128</c:v>
                </c:pt>
                <c:pt idx="251">
                  <c:v>24.633190749246808</c:v>
                </c:pt>
                <c:pt idx="252">
                  <c:v>24.636928551785445</c:v>
                </c:pt>
                <c:pt idx="253">
                  <c:v>24.640654426814081</c:v>
                </c:pt>
                <c:pt idx="254">
                  <c:v>24.644368459494274</c:v>
                </c:pt>
                <c:pt idx="255">
                  <c:v>24.648070734045916</c:v>
                </c:pt>
                <c:pt idx="256">
                  <c:v>24.651761333761954</c:v>
                </c:pt>
                <c:pt idx="257">
                  <c:v>24.65544034102146</c:v>
                </c:pt>
                <c:pt idx="258">
                  <c:v>24.659107837303907</c:v>
                </c:pt>
                <c:pt idx="259">
                  <c:v>24.662763903201778</c:v>
                </c:pt>
                <c:pt idx="260">
                  <c:v>24.666408618434048</c:v>
                </c:pt>
                <c:pt idx="261">
                  <c:v>24.670042061858908</c:v>
                </c:pt>
                <c:pt idx="262">
                  <c:v>24.673664311486164</c:v>
                </c:pt>
                <c:pt idx="263">
                  <c:v>24.67727544448968</c:v>
                </c:pt>
                <c:pt idx="264">
                  <c:v>24.680875537219492</c:v>
                </c:pt>
                <c:pt idx="265">
                  <c:v>24.684464665213682</c:v>
                </c:pt>
                <c:pt idx="266">
                  <c:v>24.688042903209976</c:v>
                </c:pt>
                <c:pt idx="267">
                  <c:v>24.691610325157285</c:v>
                </c:pt>
                <c:pt idx="268">
                  <c:v>24.695167004227017</c:v>
                </c:pt>
                <c:pt idx="269">
                  <c:v>24.69871301282393</c:v>
                </c:pt>
                <c:pt idx="270">
                  <c:v>24.702248422597108</c:v>
                </c:pt>
                <c:pt idx="271">
                  <c:v>24.705773304450702</c:v>
                </c:pt>
                <c:pt idx="272">
                  <c:v>24.709287728554216</c:v>
                </c:pt>
                <c:pt idx="273">
                  <c:v>24.712791764352914</c:v>
                </c:pt>
                <c:pt idx="274">
                  <c:v>24.716285480577881</c:v>
                </c:pt>
                <c:pt idx="275">
                  <c:v>24.719768945255964</c:v>
                </c:pt>
                <c:pt idx="276">
                  <c:v>24.723242225719503</c:v>
                </c:pt>
                <c:pt idx="277">
                  <c:v>24.726705388615983</c:v>
                </c:pt>
                <c:pt idx="278">
                  <c:v>24.730158499917309</c:v>
                </c:pt>
                <c:pt idx="279">
                  <c:v>24.733601624929292</c:v>
                </c:pt>
                <c:pt idx="280">
                  <c:v>24.737034828300466</c:v>
                </c:pt>
                <c:pt idx="281">
                  <c:v>24.740458174031176</c:v>
                </c:pt>
                <c:pt idx="282">
                  <c:v>24.74387172548245</c:v>
                </c:pt>
                <c:pt idx="283">
                  <c:v>24.747275545384355</c:v>
                </c:pt>
                <c:pt idx="284">
                  <c:v>24.750669695844863</c:v>
                </c:pt>
                <c:pt idx="285">
                  <c:v>24.75405423835781</c:v>
                </c:pt>
                <c:pt idx="286">
                  <c:v>24.757429233811422</c:v>
                </c:pt>
                <c:pt idx="287">
                  <c:v>24.760794742496159</c:v>
                </c:pt>
                <c:pt idx="288">
                  <c:v>24.764150824112789</c:v>
                </c:pt>
                <c:pt idx="289">
                  <c:v>24.767497537780002</c:v>
                </c:pt>
                <c:pt idx="290">
                  <c:v>24.77083494204237</c:v>
                </c:pt>
                <c:pt idx="291">
                  <c:v>24.774163094877622</c:v>
                </c:pt>
                <c:pt idx="292">
                  <c:v>24.777482053704148</c:v>
                </c:pt>
                <c:pt idx="293">
                  <c:v>24.780791875388331</c:v>
                </c:pt>
                <c:pt idx="294">
                  <c:v>24.784092616251769</c:v>
                </c:pt>
                <c:pt idx="295">
                  <c:v>24.787384332078148</c:v>
                </c:pt>
                <c:pt idx="296">
                  <c:v>24.79066707812035</c:v>
                </c:pt>
                <c:pt idx="297">
                  <c:v>24.793940909107164</c:v>
                </c:pt>
                <c:pt idx="298">
                  <c:v>24.797205879250157</c:v>
                </c:pt>
                <c:pt idx="299">
                  <c:v>24.800462042250217</c:v>
                </c:pt>
                <c:pt idx="300">
                  <c:v>24.803709451303916</c:v>
                </c:pt>
                <c:pt idx="301">
                  <c:v>24.80694815911005</c:v>
                </c:pt>
                <c:pt idx="302">
                  <c:v>24.810178217876114</c:v>
                </c:pt>
                <c:pt idx="303">
                  <c:v>24.813399679323993</c:v>
                </c:pt>
                <c:pt idx="304">
                  <c:v>24.816612594696664</c:v>
                </c:pt>
                <c:pt idx="305">
                  <c:v>24.819817014763714</c:v>
                </c:pt>
                <c:pt idx="306">
                  <c:v>24.823012989827532</c:v>
                </c:pt>
                <c:pt idx="307">
                  <c:v>24.826200569728996</c:v>
                </c:pt>
                <c:pt idx="308">
                  <c:v>24.829379803853271</c:v>
                </c:pt>
                <c:pt idx="309">
                  <c:v>24.832550741135321</c:v>
                </c:pt>
                <c:pt idx="310">
                  <c:v>24.835713430065709</c:v>
                </c:pt>
                <c:pt idx="311">
                  <c:v>24.838867918695655</c:v>
                </c:pt>
                <c:pt idx="312">
                  <c:v>24.842014254642891</c:v>
                </c:pt>
                <c:pt idx="313">
                  <c:v>24.845152485096605</c:v>
                </c:pt>
                <c:pt idx="314">
                  <c:v>24.848282656822676</c:v>
                </c:pt>
                <c:pt idx="315">
                  <c:v>24.851404816169065</c:v>
                </c:pt>
                <c:pt idx="316">
                  <c:v>24.854519009070543</c:v>
                </c:pt>
                <c:pt idx="317">
                  <c:v>24.857625281053913</c:v>
                </c:pt>
                <c:pt idx="318">
                  <c:v>24.860723677242845</c:v>
                </c:pt>
                <c:pt idx="319">
                  <c:v>24.863814242362594</c:v>
                </c:pt>
                <c:pt idx="320">
                  <c:v>24.86689702074483</c:v>
                </c:pt>
                <c:pt idx="321">
                  <c:v>24.869972056332415</c:v>
                </c:pt>
                <c:pt idx="322">
                  <c:v>24.87303939268395</c:v>
                </c:pt>
                <c:pt idx="323">
                  <c:v>24.87609907297815</c:v>
                </c:pt>
                <c:pt idx="324">
                  <c:v>24.879151140018678</c:v>
                </c:pt>
                <c:pt idx="325">
                  <c:v>24.88219563623818</c:v>
                </c:pt>
                <c:pt idx="326">
                  <c:v>24.885232603702946</c:v>
                </c:pt>
                <c:pt idx="327">
                  <c:v>24.888262084116832</c:v>
                </c:pt>
                <c:pt idx="328">
                  <c:v>24.891284118825979</c:v>
                </c:pt>
                <c:pt idx="329">
                  <c:v>24.894298748822393</c:v>
                </c:pt>
                <c:pt idx="330">
                  <c:v>24.897306014748608</c:v>
                </c:pt>
                <c:pt idx="331">
                  <c:v>24.900305956901207</c:v>
                </c:pt>
                <c:pt idx="332">
                  <c:v>24.903298615235201</c:v>
                </c:pt>
                <c:pt idx="333">
                  <c:v>24.906284029367669</c:v>
                </c:pt>
                <c:pt idx="334">
                  <c:v>24.909262238581789</c:v>
                </c:pt>
                <c:pt idx="335">
                  <c:v>24.912233281830595</c:v>
                </c:pt>
                <c:pt idx="336">
                  <c:v>24.915197197740781</c:v>
                </c:pt>
                <c:pt idx="337">
                  <c:v>24.918154024616172</c:v>
                </c:pt>
                <c:pt idx="338">
                  <c:v>24.921103800441699</c:v>
                </c:pt>
                <c:pt idx="339">
                  <c:v>24.924046562886815</c:v>
                </c:pt>
                <c:pt idx="340">
                  <c:v>24.926982349309071</c:v>
                </c:pt>
                <c:pt idx="341">
                  <c:v>24.92991119675753</c:v>
                </c:pt>
                <c:pt idx="342">
                  <c:v>24.932833141976289</c:v>
                </c:pt>
                <c:pt idx="343">
                  <c:v>24.935748221407948</c:v>
                </c:pt>
                <c:pt idx="344">
                  <c:v>24.938656471196794</c:v>
                </c:pt>
                <c:pt idx="345">
                  <c:v>24.941557927192264</c:v>
                </c:pt>
                <c:pt idx="346">
                  <c:v>24.944452624952078</c:v>
                </c:pt>
                <c:pt idx="347">
                  <c:v>24.947340599745417</c:v>
                </c:pt>
                <c:pt idx="348">
                  <c:v>24.950221886556278</c:v>
                </c:pt>
                <c:pt idx="349">
                  <c:v>24.95309652008649</c:v>
                </c:pt>
                <c:pt idx="350">
                  <c:v>24.955964534758607</c:v>
                </c:pt>
                <c:pt idx="351">
                  <c:v>24.958825964719381</c:v>
                </c:pt>
                <c:pt idx="352">
                  <c:v>24.961680843842259</c:v>
                </c:pt>
                <c:pt idx="353">
                  <c:v>24.964529205730742</c:v>
                </c:pt>
                <c:pt idx="354">
                  <c:v>24.967371083721105</c:v>
                </c:pt>
                <c:pt idx="355">
                  <c:v>24.970206510885134</c:v>
                </c:pt>
                <c:pt idx="356">
                  <c:v>24.973035520033363</c:v>
                </c:pt>
                <c:pt idx="357">
                  <c:v>24.97585814371746</c:v>
                </c:pt>
                <c:pt idx="358">
                  <c:v>24.97867441423324</c:v>
                </c:pt>
                <c:pt idx="359">
                  <c:v>24.981484363623281</c:v>
                </c:pt>
                <c:pt idx="360">
                  <c:v>24.984288023679653</c:v>
                </c:pt>
                <c:pt idx="361">
                  <c:v>24.987085425946532</c:v>
                </c:pt>
                <c:pt idx="362">
                  <c:v>24.989876601722813</c:v>
                </c:pt>
                <c:pt idx="363">
                  <c:v>24.992661582064784</c:v>
                </c:pt>
                <c:pt idx="364">
                  <c:v>24.995440397788514</c:v>
                </c:pt>
                <c:pt idx="365">
                  <c:v>24.998213079472464</c:v>
                </c:pt>
                <c:pt idx="366">
                  <c:v>25.000979657459936</c:v>
                </c:pt>
                <c:pt idx="367">
                  <c:v>25.003740161861685</c:v>
                </c:pt>
                <c:pt idx="368">
                  <c:v>25.006494622557909</c:v>
                </c:pt>
                <c:pt idx="369">
                  <c:v>25.009243069201148</c:v>
                </c:pt>
                <c:pt idx="370">
                  <c:v>25.011985531218272</c:v>
                </c:pt>
                <c:pt idx="371">
                  <c:v>25.01472203781293</c:v>
                </c:pt>
                <c:pt idx="372">
                  <c:v>25.01745261796782</c:v>
                </c:pt>
                <c:pt idx="373">
                  <c:v>25.020177300447074</c:v>
                </c:pt>
                <c:pt idx="374">
                  <c:v>25.022896113798197</c:v>
                </c:pt>
                <c:pt idx="375">
                  <c:v>25.025609086354621</c:v>
                </c:pt>
                <c:pt idx="376">
                  <c:v>25.02831624623758</c:v>
                </c:pt>
                <c:pt idx="377">
                  <c:v>25.031017621358558</c:v>
                </c:pt>
                <c:pt idx="378">
                  <c:v>25.033713239421047</c:v>
                </c:pt>
                <c:pt idx="379">
                  <c:v>25.036403127922938</c:v>
                </c:pt>
                <c:pt idx="380">
                  <c:v>25.039087314158451</c:v>
                </c:pt>
                <c:pt idx="381">
                  <c:v>25.041765825220239</c:v>
                </c:pt>
                <c:pt idx="382">
                  <c:v>25.044438688001435</c:v>
                </c:pt>
                <c:pt idx="383">
                  <c:v>25.047105929197357</c:v>
                </c:pt>
                <c:pt idx="384">
                  <c:v>25.049767575307953</c:v>
                </c:pt>
                <c:pt idx="385">
                  <c:v>25.052423652639334</c:v>
                </c:pt>
                <c:pt idx="386">
                  <c:v>25.05507418730582</c:v>
                </c:pt>
                <c:pt idx="387">
                  <c:v>25.05771920523199</c:v>
                </c:pt>
                <c:pt idx="388">
                  <c:v>25.060358732154214</c:v>
                </c:pt>
                <c:pt idx="389">
                  <c:v>25.062992793622868</c:v>
                </c:pt>
                <c:pt idx="390">
                  <c:v>25.065621415003875</c:v>
                </c:pt>
                <c:pt idx="391">
                  <c:v>25.068244621480687</c:v>
                </c:pt>
                <c:pt idx="392">
                  <c:v>25.070862438055826</c:v>
                </c:pt>
                <c:pt idx="393">
                  <c:v>25.07347488955304</c:v>
                </c:pt>
                <c:pt idx="394">
                  <c:v>25.076082000618669</c:v>
                </c:pt>
                <c:pt idx="395">
                  <c:v>25.078683795723407</c:v>
                </c:pt>
                <c:pt idx="396">
                  <c:v>25.081280299164234</c:v>
                </c:pt>
                <c:pt idx="397">
                  <c:v>25.083871535065782</c:v>
                </c:pt>
                <c:pt idx="398">
                  <c:v>25.086457527382265</c:v>
                </c:pt>
                <c:pt idx="399">
                  <c:v>25.089038299898903</c:v>
                </c:pt>
                <c:pt idx="400">
                  <c:v>25.091613876233623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DC-4BB4-9642-62A306BE969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(MATLAB)'!$F$2:$F$402</c:f>
              <c:numCache>
                <c:formatCode>General</c:formatCode>
                <c:ptCount val="401"/>
                <c:pt idx="0">
                  <c:v>20.967678663165657</c:v>
                </c:pt>
                <c:pt idx="1">
                  <c:v>21.163627013718497</c:v>
                </c:pt>
                <c:pt idx="2">
                  <c:v>21.381038721818356</c:v>
                </c:pt>
                <c:pt idx="3">
                  <c:v>21.519326232380138</c:v>
                </c:pt>
                <c:pt idx="4">
                  <c:v>21.6229519434537</c:v>
                </c:pt>
                <c:pt idx="5">
                  <c:v>21.706716289870542</c:v>
                </c:pt>
                <c:pt idx="6">
                  <c:v>21.777479153891136</c:v>
                </c:pt>
                <c:pt idx="7">
                  <c:v>21.839013597827829</c:v>
                </c:pt>
                <c:pt idx="8">
                  <c:v>21.893629370990141</c:v>
                </c:pt>
                <c:pt idx="9">
                  <c:v>21.942848866530994</c:v>
                </c:pt>
                <c:pt idx="10">
                  <c:v>21.987731486622806</c:v>
                </c:pt>
                <c:pt idx="11">
                  <c:v>22.029045792155785</c:v>
                </c:pt>
                <c:pt idx="12">
                  <c:v>22.067368050057041</c:v>
                </c:pt>
                <c:pt idx="13">
                  <c:v>22.103142083041462</c:v>
                </c:pt>
                <c:pt idx="14">
                  <c:v>22.136717388396846</c:v>
                </c:pt>
                <c:pt idx="15">
                  <c:v>22.16837438548464</c:v>
                </c:pt>
                <c:pt idx="16">
                  <c:v>22.198341695920078</c:v>
                </c:pt>
                <c:pt idx="17">
                  <c:v>22.226808305495865</c:v>
                </c:pt>
                <c:pt idx="18">
                  <c:v>22.253932332201089</c:v>
                </c:pt>
                <c:pt idx="19">
                  <c:v>22.279847481219349</c:v>
                </c:pt>
                <c:pt idx="20">
                  <c:v>22.304667885360402</c:v>
                </c:pt>
                <c:pt idx="21">
                  <c:v>22.328491794441675</c:v>
                </c:pt>
                <c:pt idx="22">
                  <c:v>22.351404428547426</c:v>
                </c:pt>
                <c:pt idx="23">
                  <c:v>22.37348021366563</c:v>
                </c:pt>
                <c:pt idx="24">
                  <c:v>22.394784554175601</c:v>
                </c:pt>
                <c:pt idx="25">
                  <c:v>22.415375253253274</c:v>
                </c:pt>
                <c:pt idx="26">
                  <c:v>22.435303662289982</c:v>
                </c:pt>
                <c:pt idx="27">
                  <c:v>22.454615619366393</c:v>
                </c:pt>
                <c:pt idx="28">
                  <c:v>22.473352221807488</c:v>
                </c:pt>
                <c:pt idx="29">
                  <c:v>22.491550466982517</c:v>
                </c:pt>
                <c:pt idx="30">
                  <c:v>22.509243787551895</c:v>
                </c:pt>
                <c:pt idx="31">
                  <c:v>22.526462501460173</c:v>
                </c:pt>
                <c:pt idx="32">
                  <c:v>22.543234192546095</c:v>
                </c:pt>
                <c:pt idx="33">
                  <c:v>22.559584034285251</c:v>
                </c:pt>
                <c:pt idx="34">
                  <c:v>22.575535066616908</c:v>
                </c:pt>
                <c:pt idx="35">
                  <c:v>22.591108433823251</c:v>
                </c:pt>
                <c:pt idx="36">
                  <c:v>22.606323589890962</c:v>
                </c:pt>
                <c:pt idx="37">
                  <c:v>22.621198476573056</c:v>
                </c:pt>
                <c:pt idx="38">
                  <c:v>22.635749678416289</c:v>
                </c:pt>
                <c:pt idx="39">
                  <c:v>22.649992558257395</c:v>
                </c:pt>
                <c:pt idx="40">
                  <c:v>22.663941376083756</c:v>
                </c:pt>
                <c:pt idx="41">
                  <c:v>22.677609393664113</c:v>
                </c:pt>
                <c:pt idx="42">
                  <c:v>22.691008966954996</c:v>
                </c:pt>
                <c:pt idx="43">
                  <c:v>22.704151627968258</c:v>
                </c:pt>
                <c:pt idx="44">
                  <c:v>22.717048157516729</c:v>
                </c:pt>
                <c:pt idx="45">
                  <c:v>22.729708650037139</c:v>
                </c:pt>
                <c:pt idx="46">
                  <c:v>22.742142571510271</c:v>
                </c:pt>
                <c:pt idx="47">
                  <c:v>22.75435881134581</c:v>
                </c:pt>
                <c:pt idx="48">
                  <c:v>22.7663657289757</c:v>
                </c:pt>
                <c:pt idx="49">
                  <c:v>22.778171195794073</c:v>
                </c:pt>
                <c:pt idx="50">
                  <c:v>22.789782632993365</c:v>
                </c:pt>
                <c:pt idx="51">
                  <c:v>22.801207045772401</c:v>
                </c:pt>
                <c:pt idx="52">
                  <c:v>22.812451054327369</c:v>
                </c:pt>
                <c:pt idx="53">
                  <c:v>22.823520921985505</c:v>
                </c:pt>
                <c:pt idx="54">
                  <c:v>22.834422580791852</c:v>
                </c:pt>
                <c:pt idx="55">
                  <c:v>22.845161654824267</c:v>
                </c:pt>
                <c:pt idx="56">
                  <c:v>22.855743481474065</c:v>
                </c:pt>
                <c:pt idx="57">
                  <c:v>22.866173130904485</c:v>
                </c:pt>
                <c:pt idx="58">
                  <c:v>22.876455423870595</c:v>
                </c:pt>
                <c:pt idx="59">
                  <c:v>22.886594948065635</c:v>
                </c:pt>
                <c:pt idx="60">
                  <c:v>22.896596073137744</c:v>
                </c:pt>
                <c:pt idx="61">
                  <c:v>22.906462964505806</c:v>
                </c:pt>
                <c:pt idx="62">
                  <c:v>22.91619959608829</c:v>
                </c:pt>
                <c:pt idx="63">
                  <c:v>22.925809762046981</c:v>
                </c:pt>
                <c:pt idx="64">
                  <c:v>22.935297087635774</c:v>
                </c:pt>
                <c:pt idx="65">
                  <c:v>22.944665039236554</c:v>
                </c:pt>
                <c:pt idx="66">
                  <c:v>22.95391693365292</c:v>
                </c:pt>
                <c:pt idx="67">
                  <c:v>22.963055946729185</c:v>
                </c:pt>
                <c:pt idx="68">
                  <c:v>22.972085121350858</c:v>
                </c:pt>
                <c:pt idx="69">
                  <c:v>22.981007374880903</c:v>
                </c:pt>
                <c:pt idx="70">
                  <c:v>22.989825506078432</c:v>
                </c:pt>
                <c:pt idx="71">
                  <c:v>22.998542201542989</c:v>
                </c:pt>
                <c:pt idx="72">
                  <c:v>23.007160041722784</c:v>
                </c:pt>
                <c:pt idx="73">
                  <c:v>23.015681506522753</c:v>
                </c:pt>
                <c:pt idx="74">
                  <c:v>23.024108980543076</c:v>
                </c:pt>
                <c:pt idx="75">
                  <c:v>23.032444757978567</c:v>
                </c:pt>
                <c:pt idx="76">
                  <c:v>23.040691047203836</c:v>
                </c:pt>
                <c:pt idx="77">
                  <c:v>23.048849975068777</c:v>
                </c:pt>
                <c:pt idx="78">
                  <c:v>23.056923590926544</c:v>
                </c:pt>
                <c:pt idx="79">
                  <c:v>23.064913870412965</c:v>
                </c:pt>
                <c:pt idx="80">
                  <c:v>23.072822718996974</c:v>
                </c:pt>
                <c:pt idx="81">
                  <c:v>23.080651975316869</c:v>
                </c:pt>
                <c:pt idx="82">
                  <c:v>23.088403414319885</c:v>
                </c:pt>
                <c:pt idx="83">
                  <c:v>23.096078750217032</c:v>
                </c:pt>
                <c:pt idx="84">
                  <c:v>23.103679639267284</c:v>
                </c:pt>
                <c:pt idx="85">
                  <c:v>23.111207682402551</c:v>
                </c:pt>
                <c:pt idx="86">
                  <c:v>23.118664427704346</c:v>
                </c:pt>
                <c:pt idx="87">
                  <c:v>23.126051372741983</c:v>
                </c:pt>
                <c:pt idx="88">
                  <c:v>23.13336996678197</c:v>
                </c:pt>
                <c:pt idx="89">
                  <c:v>23.140621612876259</c:v>
                </c:pt>
                <c:pt idx="90">
                  <c:v>23.147807669838528</c:v>
                </c:pt>
                <c:pt idx="91">
                  <c:v>23.154929454114267</c:v>
                </c:pt>
                <c:pt idx="92">
                  <c:v>23.161988241552763</c:v>
                </c:pt>
                <c:pt idx="93">
                  <c:v>23.168985269085795</c:v>
                </c:pt>
                <c:pt idx="94">
                  <c:v>23.175921736320731</c:v>
                </c:pt>
                <c:pt idx="95">
                  <c:v>23.182798807050858</c:v>
                </c:pt>
                <c:pt idx="96">
                  <c:v>23.189617610690561</c:v>
                </c:pt>
                <c:pt idx="97">
                  <c:v>23.196379243637864</c:v>
                </c:pt>
                <c:pt idx="98">
                  <c:v>23.203084770569887</c:v>
                </c:pt>
                <c:pt idx="99">
                  <c:v>23.209735225674592</c:v>
                </c:pt>
                <c:pt idx="100">
                  <c:v>23.216331613822888</c:v>
                </c:pt>
                <c:pt idx="101">
                  <c:v>23.222874911684357</c:v>
                </c:pt>
                <c:pt idx="102">
                  <c:v>23.229366068789886</c:v>
                </c:pt>
                <c:pt idx="103">
                  <c:v>23.235806008544273</c:v>
                </c:pt>
                <c:pt idx="104">
                  <c:v>23.242195629191713</c:v>
                </c:pt>
                <c:pt idx="105">
                  <c:v>23.248535804736321</c:v>
                </c:pt>
                <c:pt idx="106">
                  <c:v>23.254827385821102</c:v>
                </c:pt>
                <c:pt idx="107">
                  <c:v>23.261071200566334</c:v>
                </c:pt>
                <c:pt idx="108">
                  <c:v>23.267268055371119</c:v>
                </c:pt>
                <c:pt idx="109">
                  <c:v>23.273418735678547</c:v>
                </c:pt>
                <c:pt idx="110">
                  <c:v>23.279524006707732</c:v>
                </c:pt>
                <c:pt idx="111">
                  <c:v>23.285584614153322</c:v>
                </c:pt>
                <c:pt idx="112">
                  <c:v>23.291601284855062</c:v>
                </c:pt>
                <c:pt idx="113">
                  <c:v>23.297574727438757</c:v>
                </c:pt>
                <c:pt idx="114">
                  <c:v>23.3035056329295</c:v>
                </c:pt>
                <c:pt idx="115">
                  <c:v>23.30939467533949</c:v>
                </c:pt>
                <c:pt idx="116">
                  <c:v>23.31524251223118</c:v>
                </c:pt>
                <c:pt idx="117">
                  <c:v>23.321049785256776</c:v>
                </c:pt>
                <c:pt idx="118">
                  <c:v>23.326817120676083</c:v>
                </c:pt>
                <c:pt idx="119">
                  <c:v>23.332545129853088</c:v>
                </c:pt>
                <c:pt idx="120">
                  <c:v>23.338234409732195</c:v>
                </c:pt>
                <c:pt idx="121">
                  <c:v>23.343885543295642</c:v>
                </c:pt>
                <c:pt idx="122">
                  <c:v>23.349499100002902</c:v>
                </c:pt>
                <c:pt idx="123">
                  <c:v>23.355075636212462</c:v>
                </c:pt>
                <c:pt idx="124">
                  <c:v>23.360615695587342</c:v>
                </c:pt>
                <c:pt idx="125">
                  <c:v>23.366119809484758</c:v>
                </c:pt>
                <c:pt idx="126">
                  <c:v>23.37158849733072</c:v>
                </c:pt>
                <c:pt idx="127">
                  <c:v>23.377022266980816</c:v>
                </c:pt>
                <c:pt idx="128">
                  <c:v>23.382421615066789</c:v>
                </c:pt>
                <c:pt idx="129">
                  <c:v>23.387787027330262</c:v>
                </c:pt>
                <c:pt idx="130">
                  <c:v>23.393118978944244</c:v>
                </c:pt>
                <c:pt idx="131">
                  <c:v>23.398417934822589</c:v>
                </c:pt>
                <c:pt idx="132">
                  <c:v>23.403684349917967</c:v>
                </c:pt>
                <c:pt idx="133">
                  <c:v>23.408918669509262</c:v>
                </c:pt>
                <c:pt idx="134">
                  <c:v>23.414121329478348</c:v>
                </c:pt>
                <c:pt idx="135">
                  <c:v>23.419292756577192</c:v>
                </c:pt>
                <c:pt idx="136">
                  <c:v>23.424433368685129</c:v>
                </c:pt>
                <c:pt idx="137">
                  <c:v>23.429543575057266</c:v>
                </c:pt>
                <c:pt idx="138">
                  <c:v>23.434623776564138</c:v>
                </c:pt>
                <c:pt idx="139">
                  <c:v>23.439674365922997</c:v>
                </c:pt>
                <c:pt idx="140">
                  <c:v>23.444695727921157</c:v>
                </c:pt>
                <c:pt idx="141">
                  <c:v>23.449688239631485</c:v>
                </c:pt>
                <c:pt idx="142">
                  <c:v>23.45465227062067</c:v>
                </c:pt>
                <c:pt idx="143">
                  <c:v>23.459588183150629</c:v>
                </c:pt>
                <c:pt idx="144">
                  <c:v>23.46449633237296</c:v>
                </c:pt>
                <c:pt idx="145">
                  <c:v>23.469377066516529</c:v>
                </c:pt>
                <c:pt idx="146">
                  <c:v>23.474230727069767</c:v>
                </c:pt>
                <c:pt idx="147">
                  <c:v>23.479057648956086</c:v>
                </c:pt>
                <c:pt idx="148">
                  <c:v>23.483858160703846</c:v>
                </c:pt>
                <c:pt idx="149">
                  <c:v>23.488632584611082</c:v>
                </c:pt>
                <c:pt idx="150">
                  <c:v>23.493381236904497</c:v>
                </c:pt>
                <c:pt idx="151">
                  <c:v>23.498104427893736</c:v>
                </c:pt>
                <c:pt idx="152">
                  <c:v>23.502802462120314</c:v>
                </c:pt>
                <c:pt idx="153">
                  <c:v>23.507475638502171</c:v>
                </c:pt>
                <c:pt idx="154">
                  <c:v>23.512124250473789</c:v>
                </c:pt>
                <c:pt idx="155">
                  <c:v>23.516748586121366</c:v>
                </c:pt>
                <c:pt idx="156">
                  <c:v>23.521348928314637</c:v>
                </c:pt>
                <c:pt idx="157">
                  <c:v>23.525925554833748</c:v>
                </c:pt>
                <c:pt idx="158">
                  <c:v>23.530478738492832</c:v>
                </c:pt>
                <c:pt idx="159">
                  <c:v>23.535008747259781</c:v>
                </c:pt>
                <c:pt idx="160">
                  <c:v>23.53951584437209</c:v>
                </c:pt>
                <c:pt idx="161">
                  <c:v>23.544000288449467</c:v>
                </c:pt>
                <c:pt idx="162">
                  <c:v>23.54846233360314</c:v>
                </c:pt>
                <c:pt idx="163">
                  <c:v>23.552902229541644</c:v>
                </c:pt>
                <c:pt idx="164">
                  <c:v>23.557320221673649</c:v>
                </c:pt>
                <c:pt idx="165">
                  <c:v>23.561716551207894</c:v>
                </c:pt>
                <c:pt idx="166">
                  <c:v>23.566091455250046</c:v>
                </c:pt>
                <c:pt idx="167">
                  <c:v>23.570445166896775</c:v>
                </c:pt>
                <c:pt idx="168">
                  <c:v>23.574777915327104</c:v>
                </c:pt>
                <c:pt idx="169">
                  <c:v>23.579089925891253</c:v>
                </c:pt>
                <c:pt idx="170">
                  <c:v>23.583381420196872</c:v>
                </c:pt>
                <c:pt idx="171">
                  <c:v>23.58765261619277</c:v>
                </c:pt>
                <c:pt idx="172">
                  <c:v>23.591903728250543</c:v>
                </c:pt>
                <c:pt idx="173">
                  <c:v>23.596134967243586</c:v>
                </c:pt>
                <c:pt idx="174">
                  <c:v>23.600346540624116</c:v>
                </c:pt>
                <c:pt idx="175">
                  <c:v>23.60453865249815</c:v>
                </c:pt>
                <c:pt idx="176">
                  <c:v>23.608711503698032</c:v>
                </c:pt>
                <c:pt idx="177">
                  <c:v>23.612865291853552</c:v>
                </c:pt>
                <c:pt idx="178">
                  <c:v>23.617000211460606</c:v>
                </c:pt>
                <c:pt idx="179">
                  <c:v>23.621116453948275</c:v>
                </c:pt>
                <c:pt idx="180">
                  <c:v>23.625214207744079</c:v>
                </c:pt>
                <c:pt idx="181">
                  <c:v>23.629293658337531</c:v>
                </c:pt>
                <c:pt idx="182">
                  <c:v>23.633354988341807</c:v>
                </c:pt>
                <c:pt idx="183">
                  <c:v>23.637398377553836</c:v>
                </c:pt>
                <c:pt idx="184">
                  <c:v>23.641424003013185</c:v>
                </c:pt>
                <c:pt idx="185">
                  <c:v>23.64543203905879</c:v>
                </c:pt>
                <c:pt idx="186">
                  <c:v>23.649422657384775</c:v>
                </c:pt>
                <c:pt idx="187">
                  <c:v>23.653396027094459</c:v>
                </c:pt>
                <c:pt idx="188">
                  <c:v>23.657352314753041</c:v>
                </c:pt>
                <c:pt idx="189">
                  <c:v>23.661291684439163</c:v>
                </c:pt>
                <c:pt idx="190">
                  <c:v>23.665214297794876</c:v>
                </c:pt>
                <c:pt idx="191">
                  <c:v>23.669120314074519</c:v>
                </c:pt>
                <c:pt idx="192">
                  <c:v>23.673009890192191</c:v>
                </c:pt>
                <c:pt idx="193">
                  <c:v>23.676883180768357</c:v>
                </c:pt>
                <c:pt idx="194">
                  <c:v>23.680740338174985</c:v>
                </c:pt>
                <c:pt idx="195">
                  <c:v>23.684581512579541</c:v>
                </c:pt>
                <c:pt idx="196">
                  <c:v>23.688406851988304</c:v>
                </c:pt>
                <c:pt idx="197">
                  <c:v>23.69221650228809</c:v>
                </c:pt>
                <c:pt idx="198">
                  <c:v>23.696010607287405</c:v>
                </c:pt>
                <c:pt idx="199">
                  <c:v>23.699789308756124</c:v>
                </c:pt>
                <c:pt idx="200">
                  <c:v>23.703552746464879</c:v>
                </c:pt>
                <c:pt idx="201">
                  <c:v>23.707301058222868</c:v>
                </c:pt>
                <c:pt idx="202">
                  <c:v>23.711034379914963</c:v>
                </c:pt>
                <c:pt idx="203">
                  <c:v>23.714752845538101</c:v>
                </c:pt>
                <c:pt idx="204">
                  <c:v>23.718456587236744</c:v>
                </c:pt>
                <c:pt idx="205">
                  <c:v>23.722145735337222</c:v>
                </c:pt>
                <c:pt idx="206">
                  <c:v>23.725820418381716</c:v>
                </c:pt>
                <c:pt idx="207">
                  <c:v>23.729480763161121</c:v>
                </c:pt>
                <c:pt idx="208">
                  <c:v>23.733126894747272</c:v>
                </c:pt>
                <c:pt idx="209">
                  <c:v>23.736758936524382</c:v>
                </c:pt>
                <c:pt idx="210">
                  <c:v>23.740377010219902</c:v>
                </c:pt>
                <c:pt idx="211">
                  <c:v>23.74398123593437</c:v>
                </c:pt>
                <c:pt idx="212">
                  <c:v>23.747571732170968</c:v>
                </c:pt>
                <c:pt idx="213">
                  <c:v>23.75114861586394</c:v>
                </c:pt>
                <c:pt idx="214">
                  <c:v>23.754712002406961</c:v>
                </c:pt>
                <c:pt idx="215">
                  <c:v>23.758262005680308</c:v>
                </c:pt>
                <c:pt idx="216">
                  <c:v>23.761798738077687</c:v>
                </c:pt>
                <c:pt idx="217">
                  <c:v>23.765322310532554</c:v>
                </c:pt>
                <c:pt idx="218">
                  <c:v>23.768832832543467</c:v>
                </c:pt>
                <c:pt idx="219">
                  <c:v>23.772330412199608</c:v>
                </c:pt>
                <c:pt idx="220">
                  <c:v>23.775815156204771</c:v>
                </c:pt>
                <c:pt idx="221">
                  <c:v>23.779287169901636</c:v>
                </c:pt>
                <c:pt idx="222">
                  <c:v>23.782746557295127</c:v>
                </c:pt>
                <c:pt idx="223">
                  <c:v>23.786193421075438</c:v>
                </c:pt>
                <c:pt idx="224">
                  <c:v>23.789627862640373</c:v>
                </c:pt>
                <c:pt idx="225">
                  <c:v>23.793049982117282</c:v>
                </c:pt>
                <c:pt idx="226">
                  <c:v>23.796459878384667</c:v>
                </c:pt>
                <c:pt idx="227">
                  <c:v>23.799857649093212</c:v>
                </c:pt>
                <c:pt idx="228">
                  <c:v>23.803243390686248</c:v>
                </c:pt>
                <c:pt idx="229">
                  <c:v>23.806617198420099</c:v>
                </c:pt>
                <c:pt idx="230">
                  <c:v>23.809979166383584</c:v>
                </c:pt>
                <c:pt idx="231">
                  <c:v>23.813329387517626</c:v>
                </c:pt>
                <c:pt idx="232">
                  <c:v>23.816667953633896</c:v>
                </c:pt>
                <c:pt idx="233">
                  <c:v>23.819994955433458</c:v>
                </c:pt>
                <c:pt idx="234">
                  <c:v>23.823310482525017</c:v>
                </c:pt>
                <c:pt idx="235">
                  <c:v>23.826614623442481</c:v>
                </c:pt>
                <c:pt idx="236">
                  <c:v>23.829907465662529</c:v>
                </c:pt>
                <c:pt idx="237">
                  <c:v>23.833189095621663</c:v>
                </c:pt>
                <c:pt idx="238">
                  <c:v>23.836459598732745</c:v>
                </c:pt>
                <c:pt idx="239">
                  <c:v>23.839719059401659</c:v>
                </c:pt>
                <c:pt idx="240">
                  <c:v>23.84296756104311</c:v>
                </c:pt>
                <c:pt idx="241">
                  <c:v>23.84620518609637</c:v>
                </c:pt>
                <c:pt idx="242">
                  <c:v>23.849432016040794</c:v>
                </c:pt>
                <c:pt idx="243">
                  <c:v>23.852648131410831</c:v>
                </c:pt>
                <c:pt idx="244">
                  <c:v>23.855853611810971</c:v>
                </c:pt>
                <c:pt idx="245">
                  <c:v>23.859048535930015</c:v>
                </c:pt>
                <c:pt idx="246">
                  <c:v>23.862232981555508</c:v>
                </c:pt>
                <c:pt idx="247">
                  <c:v>23.865407025587501</c:v>
                </c:pt>
                <c:pt idx="248">
                  <c:v>23.868570744052533</c:v>
                </c:pt>
                <c:pt idx="249">
                  <c:v>23.871724212116703</c:v>
                </c:pt>
                <c:pt idx="250">
                  <c:v>23.874867504098972</c:v>
                </c:pt>
                <c:pt idx="251">
                  <c:v>23.878000693484125</c:v>
                </c:pt>
                <c:pt idx="252">
                  <c:v>23.881123852935275</c:v>
                </c:pt>
                <c:pt idx="253">
                  <c:v>23.884237054306368</c:v>
                </c:pt>
                <c:pt idx="254">
                  <c:v>23.887340368654463</c:v>
                </c:pt>
                <c:pt idx="255">
                  <c:v>23.890433866251442</c:v>
                </c:pt>
                <c:pt idx="256">
                  <c:v>23.89351761659583</c:v>
                </c:pt>
                <c:pt idx="257">
                  <c:v>23.896591688424451</c:v>
                </c:pt>
                <c:pt idx="258">
                  <c:v>23.899656149723398</c:v>
                </c:pt>
                <c:pt idx="259">
                  <c:v>23.902711067739403</c:v>
                </c:pt>
                <c:pt idx="260">
                  <c:v>23.905756508990578</c:v>
                </c:pt>
                <c:pt idx="261">
                  <c:v>23.908792539276988</c:v>
                </c:pt>
                <c:pt idx="262">
                  <c:v>23.911819223691396</c:v>
                </c:pt>
                <c:pt idx="263">
                  <c:v>23.91483662662921</c:v>
                </c:pt>
                <c:pt idx="264">
                  <c:v>23.917844811798886</c:v>
                </c:pt>
                <c:pt idx="265">
                  <c:v>23.920843842231534</c:v>
                </c:pt>
                <c:pt idx="266">
                  <c:v>23.92383378029092</c:v>
                </c:pt>
                <c:pt idx="267">
                  <c:v>23.926814687682793</c:v>
                </c:pt>
                <c:pt idx="268">
                  <c:v>23.929786625464487</c:v>
                </c:pt>
                <c:pt idx="269">
                  <c:v>23.932749654053907</c:v>
                </c:pt>
                <c:pt idx="270">
                  <c:v>23.93570383323879</c:v>
                </c:pt>
                <c:pt idx="271">
                  <c:v>23.938649222185347</c:v>
                </c:pt>
                <c:pt idx="272">
                  <c:v>23.941585879447246</c:v>
                </c:pt>
                <c:pt idx="273">
                  <c:v>23.944513862974077</c:v>
                </c:pt>
                <c:pt idx="274">
                  <c:v>23.9474332301196</c:v>
                </c:pt>
                <c:pt idx="275">
                  <c:v>23.950344037650495</c:v>
                </c:pt>
                <c:pt idx="276">
                  <c:v>23.953246341753811</c:v>
                </c:pt>
                <c:pt idx="277">
                  <c:v>23.956140198045659</c:v>
                </c:pt>
                <c:pt idx="278">
                  <c:v>23.959025661578551</c:v>
                </c:pt>
                <c:pt idx="279">
                  <c:v>23.961902786849407</c:v>
                </c:pt>
                <c:pt idx="280">
                  <c:v>23.964771627806897</c:v>
                </c:pt>
                <c:pt idx="281">
                  <c:v>23.967632237859164</c:v>
                </c:pt>
                <c:pt idx="282">
                  <c:v>23.970484669880875</c:v>
                </c:pt>
                <c:pt idx="283">
                  <c:v>23.973328976220671</c:v>
                </c:pt>
                <c:pt idx="284">
                  <c:v>23.976165208708096</c:v>
                </c:pt>
                <c:pt idx="285">
                  <c:v>23.978993418660593</c:v>
                </c:pt>
                <c:pt idx="286">
                  <c:v>23.981813656890267</c:v>
                </c:pt>
                <c:pt idx="287">
                  <c:v>23.984625973710706</c:v>
                </c:pt>
                <c:pt idx="288">
                  <c:v>23.987430418943745</c:v>
                </c:pt>
                <c:pt idx="289">
                  <c:v>23.990227041925436</c:v>
                </c:pt>
                <c:pt idx="290">
                  <c:v>23.99301589151321</c:v>
                </c:pt>
                <c:pt idx="291">
                  <c:v>23.995797016091387</c:v>
                </c:pt>
                <c:pt idx="292">
                  <c:v>23.998570463577948</c:v>
                </c:pt>
                <c:pt idx="293">
                  <c:v>24.001336281430326</c:v>
                </c:pt>
                <c:pt idx="294">
                  <c:v>24.004094516651492</c:v>
                </c:pt>
                <c:pt idx="295">
                  <c:v>24.006845215795749</c:v>
                </c:pt>
                <c:pt idx="296">
                  <c:v>24.009588424974595</c:v>
                </c:pt>
                <c:pt idx="297">
                  <c:v>24.012324189862454</c:v>
                </c:pt>
                <c:pt idx="298">
                  <c:v>24.015052555702084</c:v>
                </c:pt>
                <c:pt idx="299">
                  <c:v>24.017773567310428</c:v>
                </c:pt>
                <c:pt idx="300">
                  <c:v>24.020487269083674</c:v>
                </c:pt>
                <c:pt idx="301">
                  <c:v>24.023193705002882</c:v>
                </c:pt>
                <c:pt idx="302">
                  <c:v>24.025892918638931</c:v>
                </c:pt>
                <c:pt idx="303">
                  <c:v>24.028584953158088</c:v>
                </c:pt>
                <c:pt idx="304">
                  <c:v>24.031269851326726</c:v>
                </c:pt>
                <c:pt idx="305">
                  <c:v>24.033947655516556</c:v>
                </c:pt>
                <c:pt idx="306">
                  <c:v>24.036618407709398</c:v>
                </c:pt>
                <c:pt idx="307">
                  <c:v>24.039282149502128</c:v>
                </c:pt>
                <c:pt idx="308">
                  <c:v>24.041938922111456</c:v>
                </c:pt>
                <c:pt idx="309">
                  <c:v>24.044588766378581</c:v>
                </c:pt>
                <c:pt idx="310">
                  <c:v>24.047231722773859</c:v>
                </c:pt>
                <c:pt idx="311">
                  <c:v>24.049867831401343</c:v>
                </c:pt>
                <c:pt idx="312">
                  <c:v>24.052497132003111</c:v>
                </c:pt>
                <c:pt idx="313">
                  <c:v>24.055119663964035</c:v>
                </c:pt>
                <c:pt idx="314">
                  <c:v>24.057735466315762</c:v>
                </c:pt>
                <c:pt idx="315">
                  <c:v>24.060344577741205</c:v>
                </c:pt>
                <c:pt idx="316">
                  <c:v>24.062947036578748</c:v>
                </c:pt>
                <c:pt idx="317">
                  <c:v>24.065542880826229</c:v>
                </c:pt>
                <c:pt idx="318">
                  <c:v>24.06813214814531</c:v>
                </c:pt>
                <c:pt idx="319">
                  <c:v>24.070714875865235</c:v>
                </c:pt>
                <c:pt idx="320">
                  <c:v>24.073291100986921</c:v>
                </c:pt>
                <c:pt idx="321">
                  <c:v>24.075860860186822</c:v>
                </c:pt>
                <c:pt idx="322">
                  <c:v>24.078424189820851</c:v>
                </c:pt>
                <c:pt idx="323">
                  <c:v>24.080981125928076</c:v>
                </c:pt>
                <c:pt idx="324">
                  <c:v>24.083531704234588</c:v>
                </c:pt>
                <c:pt idx="325">
                  <c:v>24.086075960156904</c:v>
                </c:pt>
                <c:pt idx="326">
                  <c:v>24.088613928806012</c:v>
                </c:pt>
                <c:pt idx="327">
                  <c:v>24.091145644990547</c:v>
                </c:pt>
                <c:pt idx="328">
                  <c:v>24.093671143220433</c:v>
                </c:pt>
                <c:pt idx="329">
                  <c:v>24.096190457710463</c:v>
                </c:pt>
                <c:pt idx="330">
                  <c:v>24.098703622383709</c:v>
                </c:pt>
                <c:pt idx="331">
                  <c:v>24.10121067087465</c:v>
                </c:pt>
                <c:pt idx="332">
                  <c:v>24.103711636532694</c:v>
                </c:pt>
                <c:pt idx="333">
                  <c:v>24.106206552425476</c:v>
                </c:pt>
                <c:pt idx="334">
                  <c:v>24.10869545134193</c:v>
                </c:pt>
                <c:pt idx="335">
                  <c:v>24.111178365795581</c:v>
                </c:pt>
                <c:pt idx="336">
                  <c:v>24.113655328027676</c:v>
                </c:pt>
                <c:pt idx="337">
                  <c:v>24.116126370010136</c:v>
                </c:pt>
                <c:pt idx="338">
                  <c:v>24.118591523448686</c:v>
                </c:pt>
                <c:pt idx="339">
                  <c:v>24.121050819786035</c:v>
                </c:pt>
                <c:pt idx="340">
                  <c:v>24.12350429020438</c:v>
                </c:pt>
                <c:pt idx="341">
                  <c:v>24.125951965628872</c:v>
                </c:pt>
                <c:pt idx="342">
                  <c:v>24.128393876729945</c:v>
                </c:pt>
                <c:pt idx="343">
                  <c:v>24.130830053926616</c:v>
                </c:pt>
                <c:pt idx="344">
                  <c:v>24.133260527388927</c:v>
                </c:pt>
                <c:pt idx="345">
                  <c:v>24.135685327041017</c:v>
                </c:pt>
                <c:pt idx="346">
                  <c:v>24.138104482563449</c:v>
                </c:pt>
                <c:pt idx="347">
                  <c:v>24.140518023396282</c:v>
                </c:pt>
                <c:pt idx="348">
                  <c:v>24.142925978741403</c:v>
                </c:pt>
                <c:pt idx="349">
                  <c:v>24.145328377565363</c:v>
                </c:pt>
                <c:pt idx="350">
                  <c:v>24.147725248601773</c:v>
                </c:pt>
                <c:pt idx="351">
                  <c:v>24.15011662035397</c:v>
                </c:pt>
                <c:pt idx="352">
                  <c:v>24.152502521097347</c:v>
                </c:pt>
                <c:pt idx="353">
                  <c:v>24.154882978881972</c:v>
                </c:pt>
                <c:pt idx="354">
                  <c:v>24.157258021535029</c:v>
                </c:pt>
                <c:pt idx="355">
                  <c:v>24.159627676663092</c:v>
                </c:pt>
                <c:pt idx="356">
                  <c:v>24.161991971654516</c:v>
                </c:pt>
                <c:pt idx="357">
                  <c:v>24.164350933681817</c:v>
                </c:pt>
                <c:pt idx="358">
                  <c:v>24.166704589704068</c:v>
                </c:pt>
                <c:pt idx="359">
                  <c:v>24.169052966468939</c:v>
                </c:pt>
                <c:pt idx="360">
                  <c:v>24.171396090515032</c:v>
                </c:pt>
                <c:pt idx="361">
                  <c:v>24.173733988174263</c:v>
                </c:pt>
                <c:pt idx="362">
                  <c:v>24.176066685573801</c:v>
                </c:pt>
                <c:pt idx="363">
                  <c:v>24.178394208638281</c:v>
                </c:pt>
                <c:pt idx="364">
                  <c:v>24.180716583092078</c:v>
                </c:pt>
                <c:pt idx="365">
                  <c:v>24.183033834461241</c:v>
                </c:pt>
                <c:pt idx="366">
                  <c:v>24.185345988075483</c:v>
                </c:pt>
                <c:pt idx="367">
                  <c:v>24.18765306907062</c:v>
                </c:pt>
                <c:pt idx="368">
                  <c:v>24.189955102390002</c:v>
                </c:pt>
                <c:pt idx="369">
                  <c:v>24.19225211278706</c:v>
                </c:pt>
                <c:pt idx="370">
                  <c:v>24.194544124826848</c:v>
                </c:pt>
                <c:pt idx="371">
                  <c:v>24.196831162888202</c:v>
                </c:pt>
                <c:pt idx="372">
                  <c:v>24.19911325116567</c:v>
                </c:pt>
                <c:pt idx="373">
                  <c:v>24.20139041367122</c:v>
                </c:pt>
                <c:pt idx="374">
                  <c:v>24.203662674236227</c:v>
                </c:pt>
                <c:pt idx="375">
                  <c:v>24.205930056513409</c:v>
                </c:pt>
                <c:pt idx="376">
                  <c:v>24.208192583978303</c:v>
                </c:pt>
                <c:pt idx="377">
                  <c:v>24.210450279931536</c:v>
                </c:pt>
                <c:pt idx="378">
                  <c:v>24.212703167500081</c:v>
                </c:pt>
                <c:pt idx="379">
                  <c:v>24.214951269639528</c:v>
                </c:pt>
                <c:pt idx="380">
                  <c:v>24.21719460913522</c:v>
                </c:pt>
                <c:pt idx="381">
                  <c:v>24.219433208604585</c:v>
                </c:pt>
                <c:pt idx="382">
                  <c:v>24.221667090498272</c:v>
                </c:pt>
                <c:pt idx="383">
                  <c:v>24.223896277102199</c:v>
                </c:pt>
                <c:pt idx="384">
                  <c:v>24.226120790538914</c:v>
                </c:pt>
                <c:pt idx="385">
                  <c:v>24.228340652769418</c:v>
                </c:pt>
                <c:pt idx="386">
                  <c:v>24.23055588559464</c:v>
                </c:pt>
                <c:pt idx="387">
                  <c:v>24.232766510657029</c:v>
                </c:pt>
                <c:pt idx="388">
                  <c:v>24.234972549442261</c:v>
                </c:pt>
                <c:pt idx="389">
                  <c:v>24.237174023280488</c:v>
                </c:pt>
                <c:pt idx="390">
                  <c:v>24.2393709533481</c:v>
                </c:pt>
                <c:pt idx="391">
                  <c:v>24.241563360669204</c:v>
                </c:pt>
                <c:pt idx="392">
                  <c:v>24.243751266116988</c:v>
                </c:pt>
                <c:pt idx="393">
                  <c:v>24.245934690415254</c:v>
                </c:pt>
                <c:pt idx="394">
                  <c:v>24.2481136541399</c:v>
                </c:pt>
                <c:pt idx="395">
                  <c:v>24.250288177720279</c:v>
                </c:pt>
                <c:pt idx="396">
                  <c:v>24.252458281440624</c:v>
                </c:pt>
                <c:pt idx="397">
                  <c:v>24.254623985441469</c:v>
                </c:pt>
                <c:pt idx="398">
                  <c:v>24.256785309721124</c:v>
                </c:pt>
                <c:pt idx="399">
                  <c:v>24.258942274136814</c:v>
                </c:pt>
                <c:pt idx="400">
                  <c:v>24.261094898406213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DC-4BB4-9642-62A306BE969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(MATLAB)'!$G$2:$G$402</c:f>
              <c:numCache>
                <c:formatCode>General</c:formatCode>
                <c:ptCount val="401"/>
                <c:pt idx="0">
                  <c:v>20.847713794589026</c:v>
                </c:pt>
                <c:pt idx="1">
                  <c:v>21.015527903772579</c:v>
                </c:pt>
                <c:pt idx="2">
                  <c:v>21.201784401204691</c:v>
                </c:pt>
                <c:pt idx="3">
                  <c:v>21.32037042386213</c:v>
                </c:pt>
                <c:pt idx="4">
                  <c:v>21.409302344840285</c:v>
                </c:pt>
                <c:pt idx="5">
                  <c:v>21.481232628242651</c:v>
                </c:pt>
                <c:pt idx="6">
                  <c:v>21.542027411865149</c:v>
                </c:pt>
                <c:pt idx="7">
                  <c:v>21.594914451195507</c:v>
                </c:pt>
                <c:pt idx="8">
                  <c:v>21.641870452059152</c:v>
                </c:pt>
                <c:pt idx="9">
                  <c:v>21.684198774337574</c:v>
                </c:pt>
                <c:pt idx="10">
                  <c:v>21.722806708380858</c:v>
                </c:pt>
                <c:pt idx="11">
                  <c:v>21.758352668687053</c:v>
                </c:pt>
                <c:pt idx="12">
                  <c:v>21.791330475846735</c:v>
                </c:pt>
                <c:pt idx="13">
                  <c:v>21.822120555065396</c:v>
                </c:pt>
                <c:pt idx="14">
                  <c:v>21.851022552564132</c:v>
                </c:pt>
                <c:pt idx="15">
                  <c:v>21.878276943500907</c:v>
                </c:pt>
                <c:pt idx="16">
                  <c:v>21.904079824278028</c:v>
                </c:pt>
                <c:pt idx="17">
                  <c:v>21.928593325601753</c:v>
                </c:pt>
                <c:pt idx="18">
                  <c:v>21.951953121127474</c:v>
                </c:pt>
                <c:pt idx="19">
                  <c:v>21.974273956324112</c:v>
                </c:pt>
                <c:pt idx="20">
                  <c:v>21.995653795146325</c:v>
                </c:pt>
                <c:pt idx="21">
                  <c:v>22.016176981155866</c:v>
                </c:pt>
                <c:pt idx="22">
                  <c:v>22.035916682625157</c:v>
                </c:pt>
                <c:pt idx="23">
                  <c:v>22.054936808657715</c:v>
                </c:pt>
                <c:pt idx="24">
                  <c:v>22.073293528568513</c:v>
                </c:pt>
                <c:pt idx="25">
                  <c:v>22.091036489626561</c:v>
                </c:pt>
                <c:pt idx="26">
                  <c:v>22.108209802602914</c:v>
                </c:pt>
                <c:pt idx="27">
                  <c:v>22.124852846548947</c:v>
                </c:pt>
                <c:pt idx="28">
                  <c:v>22.141000931371934</c:v>
                </c:pt>
                <c:pt idx="29">
                  <c:v>22.156685847474705</c:v>
                </c:pt>
                <c:pt idx="30">
                  <c:v>22.171936324909154</c:v>
                </c:pt>
                <c:pt idx="31">
                  <c:v>22.186778419436848</c:v>
                </c:pt>
                <c:pt idx="32">
                  <c:v>22.201235839096853</c:v>
                </c:pt>
                <c:pt idx="33">
                  <c:v>22.215330222008902</c:v>
                </c:pt>
                <c:pt idx="34">
                  <c:v>22.229081373939209</c:v>
                </c:pt>
                <c:pt idx="35">
                  <c:v>22.242507472462478</c:v>
                </c:pt>
                <c:pt idx="36">
                  <c:v>22.255625243229588</c:v>
                </c:pt>
                <c:pt idx="37">
                  <c:v>22.268450112816765</c:v>
                </c:pt>
                <c:pt idx="38">
                  <c:v>22.280996341812511</c:v>
                </c:pt>
                <c:pt idx="39">
                  <c:v>22.293277141146916</c:v>
                </c:pt>
                <c:pt idx="40">
                  <c:v>22.305304774146407</c:v>
                </c:pt>
                <c:pt idx="41">
                  <c:v>22.317090646376755</c:v>
                </c:pt>
                <c:pt idx="42">
                  <c:v>22.328645384996207</c:v>
                </c:pt>
                <c:pt idx="43">
                  <c:v>22.339978909062211</c:v>
                </c:pt>
                <c:pt idx="44">
                  <c:v>22.351100492009436</c:v>
                </c:pt>
                <c:pt idx="45">
                  <c:v>22.362018817326543</c:v>
                </c:pt>
                <c:pt idx="46">
                  <c:v>22.372742028307528</c:v>
                </c:pt>
                <c:pt idx="47">
                  <c:v>22.383277772621511</c:v>
                </c:pt>
                <c:pt idx="48">
                  <c:v>22.393633242339774</c:v>
                </c:pt>
                <c:pt idx="49">
                  <c:v>22.403815209966751</c:v>
                </c:pt>
                <c:pt idx="50">
                  <c:v>22.413830060948158</c:v>
                </c:pt>
                <c:pt idx="51">
                  <c:v>22.423683823062333</c:v>
                </c:pt>
                <c:pt idx="52">
                  <c:v>22.433382193050306</c:v>
                </c:pt>
                <c:pt idx="53">
                  <c:v>22.442930560790842</c:v>
                </c:pt>
                <c:pt idx="54">
                  <c:v>22.452334031288615</c:v>
                </c:pt>
                <c:pt idx="55">
                  <c:v>22.461597444710776</c:v>
                </c:pt>
                <c:pt idx="56">
                  <c:v>22.47072539467672</c:v>
                </c:pt>
                <c:pt idx="57">
                  <c:v>22.479722244981701</c:v>
                </c:pt>
                <c:pt idx="58">
                  <c:v>22.488592144913753</c:v>
                </c:pt>
                <c:pt idx="59">
                  <c:v>22.497339043304123</c:v>
                </c:pt>
                <c:pt idx="60">
                  <c:v>22.505966701435682</c:v>
                </c:pt>
                <c:pt idx="61">
                  <c:v>22.514478704919213</c:v>
                </c:pt>
                <c:pt idx="62">
                  <c:v>22.522878474636343</c:v>
                </c:pt>
                <c:pt idx="63">
                  <c:v>22.531169276835442</c:v>
                </c:pt>
                <c:pt idx="64">
                  <c:v>22.539354232459061</c:v>
                </c:pt>
                <c:pt idx="65">
                  <c:v>22.547436325772082</c:v>
                </c:pt>
                <c:pt idx="66">
                  <c:v>22.555418412353049</c:v>
                </c:pt>
                <c:pt idx="67">
                  <c:v>22.563303226504559</c:v>
                </c:pt>
                <c:pt idx="68">
                  <c:v>22.571093388133249</c:v>
                </c:pt>
                <c:pt idx="69">
                  <c:v>22.578791409143946</c:v>
                </c:pt>
                <c:pt idx="70">
                  <c:v>22.586399699389403</c:v>
                </c:pt>
                <c:pt idx="71">
                  <c:v>22.593920572211971</c:v>
                </c:pt>
                <c:pt idx="72">
                  <c:v>22.601356249611001</c:v>
                </c:pt>
                <c:pt idx="73">
                  <c:v>22.608708867065559</c:v>
                </c:pt>
                <c:pt idx="74">
                  <c:v>22.615980478040285</c:v>
                </c:pt>
                <c:pt idx="75">
                  <c:v>22.623173058198745</c:v>
                </c:pt>
                <c:pt idx="76">
                  <c:v>22.630288509347565</c:v>
                </c:pt>
                <c:pt idx="77">
                  <c:v>22.637328663130972</c:v>
                </c:pt>
                <c:pt idx="78">
                  <c:v>22.644295284495513</c:v>
                </c:pt>
                <c:pt idx="79">
                  <c:v>22.651190074941212</c:v>
                </c:pt>
                <c:pt idx="80">
                  <c:v>22.658014675575487</c:v>
                </c:pt>
                <c:pt idx="81">
                  <c:v>22.664770669983398</c:v>
                </c:pt>
                <c:pt idx="82">
                  <c:v>22.671459586928222</c:v>
                </c:pt>
                <c:pt idx="83">
                  <c:v>22.678082902893664</c:v>
                </c:pt>
                <c:pt idx="84">
                  <c:v>22.684642044479176</c:v>
                </c:pt>
                <c:pt idx="85">
                  <c:v>22.691138390658239</c:v>
                </c:pt>
                <c:pt idx="86">
                  <c:v>22.697573274909018</c:v>
                </c:pt>
                <c:pt idx="87">
                  <c:v>22.703947987226513</c:v>
                </c:pt>
                <c:pt idx="88">
                  <c:v>22.710263776023055</c:v>
                </c:pt>
                <c:pt idx="89">
                  <c:v>22.716521849925641</c:v>
                </c:pt>
                <c:pt idx="90">
                  <c:v>22.722723379475951</c:v>
                </c:pt>
                <c:pt idx="91">
                  <c:v>22.728869498739698</c:v>
                </c:pt>
                <c:pt idx="92">
                  <c:v>22.734961306831337</c:v>
                </c:pt>
                <c:pt idx="93">
                  <c:v>22.74099986935903</c:v>
                </c:pt>
                <c:pt idx="94">
                  <c:v>22.746986219794678</c:v>
                </c:pt>
                <c:pt idx="95">
                  <c:v>22.752921360774565</c:v>
                </c:pt>
                <c:pt idx="96">
                  <c:v>22.758806265333874</c:v>
                </c:pt>
                <c:pt idx="97">
                  <c:v>22.764641878079544</c:v>
                </c:pt>
                <c:pt idx="98">
                  <c:v>22.770429116304854</c:v>
                </c:pt>
                <c:pt idx="99">
                  <c:v>22.77616887104989</c:v>
                </c:pt>
                <c:pt idx="100">
                  <c:v>22.781862008110124</c:v>
                </c:pt>
                <c:pt idx="101">
                  <c:v>22.787509368996723</c:v>
                </c:pt>
                <c:pt idx="102">
                  <c:v>22.793111771850988</c:v>
                </c:pt>
                <c:pt idx="103">
                  <c:v>22.798670012316222</c:v>
                </c:pt>
                <c:pt idx="104">
                  <c:v>22.804184864368438</c:v>
                </c:pt>
                <c:pt idx="105">
                  <c:v>22.809657081108924</c:v>
                </c:pt>
                <c:pt idx="106">
                  <c:v>22.81508739552055</c:v>
                </c:pt>
                <c:pt idx="107">
                  <c:v>22.820476521189846</c:v>
                </c:pt>
                <c:pt idx="108">
                  <c:v>22.825825152996515</c:v>
                </c:pt>
                <c:pt idx="109">
                  <c:v>22.831133967772473</c:v>
                </c:pt>
                <c:pt idx="110">
                  <c:v>22.83640362493162</c:v>
                </c:pt>
                <c:pt idx="111">
                  <c:v>22.841634767072492</c:v>
                </c:pt>
                <c:pt idx="112">
                  <c:v>22.846828020554199</c:v>
                </c:pt>
                <c:pt idx="113">
                  <c:v>22.851983996048489</c:v>
                </c:pt>
                <c:pt idx="114">
                  <c:v>22.857103289067538</c:v>
                </c:pt>
                <c:pt idx="115">
                  <c:v>22.862186480470086</c:v>
                </c:pt>
                <c:pt idx="116">
                  <c:v>22.867234136946195</c:v>
                </c:pt>
                <c:pt idx="117">
                  <c:v>22.872246811481773</c:v>
                </c:pt>
                <c:pt idx="118">
                  <c:v>22.877225043804515</c:v>
                </c:pt>
                <c:pt idx="119">
                  <c:v>22.882169360811076</c:v>
                </c:pt>
                <c:pt idx="120">
                  <c:v>22.887080276977429</c:v>
                </c:pt>
                <c:pt idx="121">
                  <c:v>22.89195829475284</c:v>
                </c:pt>
                <c:pt idx="122">
                  <c:v>22.896803904937713</c:v>
                </c:pt>
                <c:pt idx="123">
                  <c:v>22.901617587047156</c:v>
                </c:pt>
                <c:pt idx="124">
                  <c:v>22.906399809659831</c:v>
                </c:pt>
                <c:pt idx="125">
                  <c:v>22.911151030753786</c:v>
                </c:pt>
                <c:pt idx="126">
                  <c:v>22.915871698028866</c:v>
                </c:pt>
                <c:pt idx="127">
                  <c:v>22.920562249217255</c:v>
                </c:pt>
                <c:pt idx="128">
                  <c:v>22.925223112382184</c:v>
                </c:pt>
                <c:pt idx="129">
                  <c:v>22.929854706204992</c:v>
                </c:pt>
                <c:pt idx="130">
                  <c:v>22.934457440262236</c:v>
                </c:pt>
                <c:pt idx="131">
                  <c:v>22.939031715291947</c:v>
                </c:pt>
                <c:pt idx="132">
                  <c:v>22.943577923450562</c:v>
                </c:pt>
                <c:pt idx="133">
                  <c:v>22.948096448559909</c:v>
                </c:pt>
                <c:pt idx="134">
                  <c:v>22.952587666346176</c:v>
                </c:pt>
                <c:pt idx="135">
                  <c:v>22.957051944669274</c:v>
                </c:pt>
                <c:pt idx="136">
                  <c:v>22.961489643744983</c:v>
                </c:pt>
                <c:pt idx="137">
                  <c:v>22.965901116358566</c:v>
                </c:pt>
                <c:pt idx="138">
                  <c:v>22.970286708071114</c:v>
                </c:pt>
                <c:pt idx="139">
                  <c:v>22.974646757419009</c:v>
                </c:pt>
                <c:pt idx="140">
                  <c:v>22.978981596105939</c:v>
                </c:pt>
                <c:pt idx="141">
                  <c:v>22.983291549188777</c:v>
                </c:pt>
                <c:pt idx="142">
                  <c:v>22.987576935256925</c:v>
                </c:pt>
                <c:pt idx="143">
                  <c:v>22.991838066605567</c:v>
                </c:pt>
                <c:pt idx="144">
                  <c:v>22.996075249403134</c:v>
                </c:pt>
                <c:pt idx="145">
                  <c:v>23.000288783853421</c:v>
                </c:pt>
                <c:pt idx="146">
                  <c:v>23.004478964351847</c:v>
                </c:pt>
                <c:pt idx="147">
                  <c:v>23.008646079636947</c:v>
                </c:pt>
                <c:pt idx="148">
                  <c:v>23.012790412936852</c:v>
                </c:pt>
                <c:pt idx="149">
                  <c:v>23.016912242110891</c:v>
                </c:pt>
                <c:pt idx="150">
                  <c:v>23.021011839786752</c:v>
                </c:pt>
                <c:pt idx="151">
                  <c:v>23.02508947349321</c:v>
                </c:pt>
                <c:pt idx="152">
                  <c:v>23.029145405788597</c:v>
                </c:pt>
                <c:pt idx="153">
                  <c:v>23.033179894385171</c:v>
                </c:pt>
                <c:pt idx="154">
                  <c:v>23.037193192269854</c:v>
                </c:pt>
                <c:pt idx="155">
                  <c:v>23.041185547820646</c:v>
                </c:pt>
                <c:pt idx="156">
                  <c:v>23.045157204920201</c:v>
                </c:pt>
                <c:pt idx="157">
                  <c:v>23.049108403065134</c:v>
                </c:pt>
                <c:pt idx="158">
                  <c:v>23.053039377472544</c:v>
                </c:pt>
                <c:pt idx="159">
                  <c:v>23.056950359182906</c:v>
                </c:pt>
                <c:pt idx="160">
                  <c:v>23.060841575160168</c:v>
                </c:pt>
                <c:pt idx="161">
                  <c:v>23.064713248388671</c:v>
                </c:pt>
                <c:pt idx="162">
                  <c:v>23.068565597967279</c:v>
                </c:pt>
                <c:pt idx="163">
                  <c:v>23.072398839200446</c:v>
                </c:pt>
                <c:pt idx="164">
                  <c:v>23.076213183687059</c:v>
                </c:pt>
                <c:pt idx="165">
                  <c:v>23.080008839406162</c:v>
                </c:pt>
                <c:pt idx="166">
                  <c:v>23.083786010800623</c:v>
                </c:pt>
                <c:pt idx="167">
                  <c:v>23.087544898858255</c:v>
                </c:pt>
                <c:pt idx="168">
                  <c:v>23.091285701190316</c:v>
                </c:pt>
                <c:pt idx="169">
                  <c:v>23.095008612108074</c:v>
                </c:pt>
                <c:pt idx="170">
                  <c:v>23.098713822697277</c:v>
                </c:pt>
                <c:pt idx="171">
                  <c:v>23.102401520890226</c:v>
                </c:pt>
                <c:pt idx="172">
                  <c:v>23.106071891535919</c:v>
                </c:pt>
                <c:pt idx="173">
                  <c:v>23.109725116468326</c:v>
                </c:pt>
                <c:pt idx="174">
                  <c:v>23.113361374572605</c:v>
                </c:pt>
                <c:pt idx="175">
                  <c:v>23.116980841849909</c:v>
                </c:pt>
                <c:pt idx="176">
                  <c:v>23.120583691479681</c:v>
                </c:pt>
                <c:pt idx="177">
                  <c:v>23.124170093880934</c:v>
                </c:pt>
                <c:pt idx="178">
                  <c:v>23.127740216771542</c:v>
                </c:pt>
                <c:pt idx="179">
                  <c:v>23.131294225225929</c:v>
                </c:pt>
                <c:pt idx="180">
                  <c:v>23.134832281731406</c:v>
                </c:pt>
                <c:pt idx="181">
                  <c:v>23.138354546242681</c:v>
                </c:pt>
                <c:pt idx="182">
                  <c:v>23.141861176235295</c:v>
                </c:pt>
                <c:pt idx="183">
                  <c:v>23.145352326757234</c:v>
                </c:pt>
                <c:pt idx="184">
                  <c:v>23.14882815047963</c:v>
                </c:pt>
                <c:pt idx="185">
                  <c:v>23.152288797745939</c:v>
                </c:pt>
                <c:pt idx="186">
                  <c:v>23.155734416619509</c:v>
                </c:pt>
                <c:pt idx="187">
                  <c:v>23.159165152930598</c:v>
                </c:pt>
                <c:pt idx="188">
                  <c:v>23.162581150321614</c:v>
                </c:pt>
                <c:pt idx="189">
                  <c:v>23.165982550291403</c:v>
                </c:pt>
                <c:pt idx="190">
                  <c:v>23.169369492238559</c:v>
                </c:pt>
                <c:pt idx="191">
                  <c:v>23.172742113503261</c:v>
                </c:pt>
                <c:pt idx="192">
                  <c:v>23.176100549408488</c:v>
                </c:pt>
                <c:pt idx="193">
                  <c:v>23.179444933299976</c:v>
                </c:pt>
                <c:pt idx="194">
                  <c:v>23.182775396585043</c:v>
                </c:pt>
                <c:pt idx="195">
                  <c:v>23.186092068770847</c:v>
                </c:pt>
                <c:pt idx="196">
                  <c:v>23.18939507750116</c:v>
                </c:pt>
                <c:pt idx="197">
                  <c:v>23.192684548593036</c:v>
                </c:pt>
                <c:pt idx="198">
                  <c:v>23.195960606071424</c:v>
                </c:pt>
                <c:pt idx="199">
                  <c:v>23.199223372204358</c:v>
                </c:pt>
                <c:pt idx="200">
                  <c:v>23.202472967535925</c:v>
                </c:pt>
                <c:pt idx="201">
                  <c:v>23.205709510919462</c:v>
                </c:pt>
                <c:pt idx="202">
                  <c:v>23.208933119549329</c:v>
                </c:pt>
                <c:pt idx="203">
                  <c:v>23.212143908992402</c:v>
                </c:pt>
                <c:pt idx="204">
                  <c:v>23.215341993218374</c:v>
                </c:pt>
                <c:pt idx="205">
                  <c:v>23.21852748462959</c:v>
                </c:pt>
                <c:pt idx="206">
                  <c:v>23.221700494090214</c:v>
                </c:pt>
                <c:pt idx="207">
                  <c:v>23.224861130954707</c:v>
                </c:pt>
                <c:pt idx="208">
                  <c:v>23.228009503095279</c:v>
                </c:pt>
                <c:pt idx="209">
                  <c:v>23.231145716929404</c:v>
                </c:pt>
                <c:pt idx="210">
                  <c:v>23.234269877446025</c:v>
                </c:pt>
                <c:pt idx="211">
                  <c:v>23.237382088231584</c:v>
                </c:pt>
                <c:pt idx="212">
                  <c:v>23.240482451495211</c:v>
                </c:pt>
                <c:pt idx="213">
                  <c:v>23.243571068093615</c:v>
                </c:pt>
                <c:pt idx="214">
                  <c:v>23.246648037554962</c:v>
                </c:pt>
                <c:pt idx="215">
                  <c:v>23.24971345810286</c:v>
                </c:pt>
                <c:pt idx="216">
                  <c:v>23.252767426679156</c:v>
                </c:pt>
                <c:pt idx="217">
                  <c:v>23.255810038966672</c:v>
                </c:pt>
                <c:pt idx="218">
                  <c:v>23.258841389411259</c:v>
                </c:pt>
                <c:pt idx="219">
                  <c:v>23.261861571243344</c:v>
                </c:pt>
                <c:pt idx="220">
                  <c:v>23.264870676499072</c:v>
                </c:pt>
                <c:pt idx="221">
                  <c:v>23.267868796041057</c:v>
                </c:pt>
                <c:pt idx="222">
                  <c:v>23.270856019578446</c:v>
                </c:pt>
                <c:pt idx="223">
                  <c:v>23.273832435686757</c:v>
                </c:pt>
                <c:pt idx="224">
                  <c:v>23.27679813182715</c:v>
                </c:pt>
                <c:pt idx="225">
                  <c:v>23.27975319436564</c:v>
                </c:pt>
                <c:pt idx="226">
                  <c:v>23.282697708591229</c:v>
                </c:pt>
                <c:pt idx="227">
                  <c:v>23.285631758734269</c:v>
                </c:pt>
                <c:pt idx="228">
                  <c:v>23.288555427984193</c:v>
                </c:pt>
                <c:pt idx="229">
                  <c:v>23.291468798506855</c:v>
                </c:pt>
                <c:pt idx="230">
                  <c:v>23.294371951461528</c:v>
                </c:pt>
                <c:pt idx="231">
                  <c:v>23.297264967017611</c:v>
                </c:pt>
                <c:pt idx="232">
                  <c:v>23.300147924370833</c:v>
                </c:pt>
                <c:pt idx="233">
                  <c:v>23.303020901759453</c:v>
                </c:pt>
                <c:pt idx="234">
                  <c:v>23.305883976479606</c:v>
                </c:pt>
                <c:pt idx="235">
                  <c:v>23.30873722490071</c:v>
                </c:pt>
                <c:pt idx="236">
                  <c:v>23.311580722480699</c:v>
                </c:pt>
                <c:pt idx="237">
                  <c:v>23.314414543780458</c:v>
                </c:pt>
                <c:pt idx="238">
                  <c:v>23.317238762478269</c:v>
                </c:pt>
                <c:pt idx="239">
                  <c:v>23.320053451384069</c:v>
                </c:pt>
                <c:pt idx="240">
                  <c:v>23.322858682453102</c:v>
                </c:pt>
                <c:pt idx="241">
                  <c:v>23.325654526799553</c:v>
                </c:pt>
                <c:pt idx="242">
                  <c:v>23.328441054709856</c:v>
                </c:pt>
                <c:pt idx="243">
                  <c:v>23.331218335655649</c:v>
                </c:pt>
                <c:pt idx="244">
                  <c:v>23.333986438306624</c:v>
                </c:pt>
                <c:pt idx="245">
                  <c:v>23.336745430542919</c:v>
                </c:pt>
                <c:pt idx="246">
                  <c:v>23.339495379467451</c:v>
                </c:pt>
                <c:pt idx="247">
                  <c:v>23.34223635141791</c:v>
                </c:pt>
                <c:pt idx="248">
                  <c:v>23.344968411978527</c:v>
                </c:pt>
                <c:pt idx="249">
                  <c:v>23.347691625991843</c:v>
                </c:pt>
                <c:pt idx="250">
                  <c:v>23.350406057569728</c:v>
                </c:pt>
                <c:pt idx="251">
                  <c:v>23.353111770104647</c:v>
                </c:pt>
                <c:pt idx="252">
                  <c:v>23.355808826280679</c:v>
                </c:pt>
                <c:pt idx="253">
                  <c:v>23.358497288083981</c:v>
                </c:pt>
                <c:pt idx="254">
                  <c:v>23.36117721681353</c:v>
                </c:pt>
                <c:pt idx="255">
                  <c:v>23.363848673091184</c:v>
                </c:pt>
                <c:pt idx="256">
                  <c:v>23.366511716871969</c:v>
                </c:pt>
                <c:pt idx="257">
                  <c:v>23.369166407453974</c:v>
                </c:pt>
                <c:pt idx="258">
                  <c:v>23.371812803488012</c:v>
                </c:pt>
                <c:pt idx="259">
                  <c:v>23.374450962987055</c:v>
                </c:pt>
                <c:pt idx="260">
                  <c:v>23.377080943335898</c:v>
                </c:pt>
                <c:pt idx="261">
                  <c:v>23.379702801300198</c:v>
                </c:pt>
                <c:pt idx="262">
                  <c:v>23.382316593035398</c:v>
                </c:pt>
                <c:pt idx="263">
                  <c:v>23.384922374095709</c:v>
                </c:pt>
                <c:pt idx="264">
                  <c:v>23.387520199442804</c:v>
                </c:pt>
                <c:pt idx="265">
                  <c:v>23.390110123454463</c:v>
                </c:pt>
                <c:pt idx="266">
                  <c:v>23.39269219993264</c:v>
                </c:pt>
                <c:pt idx="267">
                  <c:v>23.395266482111992</c:v>
                </c:pt>
                <c:pt idx="268">
                  <c:v>23.397833022667953</c:v>
                </c:pt>
                <c:pt idx="269">
                  <c:v>23.400391873724516</c:v>
                </c:pt>
                <c:pt idx="270">
                  <c:v>23.402943086862138</c:v>
                </c:pt>
                <c:pt idx="271">
                  <c:v>23.405486713125356</c:v>
                </c:pt>
                <c:pt idx="272">
                  <c:v>23.408022803030292</c:v>
                </c:pt>
                <c:pt idx="273">
                  <c:v>23.410551406572267</c:v>
                </c:pt>
                <c:pt idx="274">
                  <c:v>23.413072573232625</c:v>
                </c:pt>
                <c:pt idx="275">
                  <c:v>23.415586351986406</c:v>
                </c:pt>
                <c:pt idx="276">
                  <c:v>23.418092791308879</c:v>
                </c:pt>
                <c:pt idx="277">
                  <c:v>23.420591939182714</c:v>
                </c:pt>
                <c:pt idx="278">
                  <c:v>23.423083843104564</c:v>
                </c:pt>
                <c:pt idx="279">
                  <c:v>23.425568550092009</c:v>
                </c:pt>
                <c:pt idx="280">
                  <c:v>23.428046106689692</c:v>
                </c:pt>
                <c:pt idx="281">
                  <c:v>23.430516558976194</c:v>
                </c:pt>
                <c:pt idx="282">
                  <c:v>23.432979952569838</c:v>
                </c:pt>
                <c:pt idx="283">
                  <c:v>23.435436332635334</c:v>
                </c:pt>
                <c:pt idx="284">
                  <c:v>23.437885743889694</c:v>
                </c:pt>
                <c:pt idx="285">
                  <c:v>23.440328230608259</c:v>
                </c:pt>
                <c:pt idx="286">
                  <c:v>23.442763836630604</c:v>
                </c:pt>
                <c:pt idx="287">
                  <c:v>23.445192605366231</c:v>
                </c:pt>
                <c:pt idx="288">
                  <c:v>23.447614579800415</c:v>
                </c:pt>
                <c:pt idx="289">
                  <c:v>23.450029802499785</c:v>
                </c:pt>
                <c:pt idx="290">
                  <c:v>23.452438315617826</c:v>
                </c:pt>
                <c:pt idx="291">
                  <c:v>23.454840160900176</c:v>
                </c:pt>
                <c:pt idx="292">
                  <c:v>23.457235379690189</c:v>
                </c:pt>
                <c:pt idx="293">
                  <c:v>23.459624012934</c:v>
                </c:pt>
                <c:pt idx="294">
                  <c:v>23.462006101185693</c:v>
                </c:pt>
                <c:pt idx="295">
                  <c:v>23.464381684612533</c:v>
                </c:pt>
                <c:pt idx="296">
                  <c:v>23.466750802999741</c:v>
                </c:pt>
                <c:pt idx="297">
                  <c:v>23.469113495755551</c:v>
                </c:pt>
                <c:pt idx="298">
                  <c:v>23.471469801916044</c:v>
                </c:pt>
                <c:pt idx="299">
                  <c:v>23.473819760149752</c:v>
                </c:pt>
                <c:pt idx="300">
                  <c:v>23.476163408762545</c:v>
                </c:pt>
                <c:pt idx="301">
                  <c:v>23.47850078570201</c:v>
                </c:pt>
                <c:pt idx="302">
                  <c:v>23.480831928562282</c:v>
                </c:pt>
                <c:pt idx="303">
                  <c:v>23.483156874588133</c:v>
                </c:pt>
                <c:pt idx="304">
                  <c:v>23.485475660679583</c:v>
                </c:pt>
                <c:pt idx="305">
                  <c:v>23.487788323396273</c:v>
                </c:pt>
                <c:pt idx="306">
                  <c:v>23.490094898961445</c:v>
                </c:pt>
                <c:pt idx="307">
                  <c:v>23.492395423266373</c:v>
                </c:pt>
                <c:pt idx="308">
                  <c:v>23.494689931874461</c:v>
                </c:pt>
                <c:pt idx="309">
                  <c:v>23.496978460025161</c:v>
                </c:pt>
                <c:pt idx="310">
                  <c:v>23.499261042638068</c:v>
                </c:pt>
                <c:pt idx="311">
                  <c:v>23.501537714316669</c:v>
                </c:pt>
                <c:pt idx="312">
                  <c:v>23.503808509352552</c:v>
                </c:pt>
                <c:pt idx="313">
                  <c:v>23.506073461728874</c:v>
                </c:pt>
                <c:pt idx="314">
                  <c:v>23.508332605124338</c:v>
                </c:pt>
                <c:pt idx="315">
                  <c:v>23.510585972916772</c:v>
                </c:pt>
                <c:pt idx="316">
                  <c:v>23.51283359818666</c:v>
                </c:pt>
                <c:pt idx="317">
                  <c:v>23.515075513721001</c:v>
                </c:pt>
                <c:pt idx="318">
                  <c:v>23.51731175201661</c:v>
                </c:pt>
                <c:pt idx="319">
                  <c:v>23.519542345283639</c:v>
                </c:pt>
                <c:pt idx="320">
                  <c:v>23.521767325449105</c:v>
                </c:pt>
                <c:pt idx="321">
                  <c:v>23.523986724160011</c:v>
                </c:pt>
                <c:pt idx="322">
                  <c:v>23.526200572787047</c:v>
                </c:pt>
                <c:pt idx="323">
                  <c:v>23.528408902427373</c:v>
                </c:pt>
                <c:pt idx="324">
                  <c:v>23.530611743908253</c:v>
                </c:pt>
                <c:pt idx="325">
                  <c:v>23.532809127790074</c:v>
                </c:pt>
                <c:pt idx="326">
                  <c:v>23.535001084369469</c:v>
                </c:pt>
                <c:pt idx="327">
                  <c:v>23.537187643682273</c:v>
                </c:pt>
                <c:pt idx="328">
                  <c:v>23.539368835506764</c:v>
                </c:pt>
                <c:pt idx="329">
                  <c:v>23.541544689366674</c:v>
                </c:pt>
                <c:pt idx="330">
                  <c:v>23.543715234533863</c:v>
                </c:pt>
                <c:pt idx="331">
                  <c:v>23.545880500031387</c:v>
                </c:pt>
                <c:pt idx="332">
                  <c:v>23.548040514636511</c:v>
                </c:pt>
                <c:pt idx="333">
                  <c:v>23.550195306883211</c:v>
                </c:pt>
                <c:pt idx="334">
                  <c:v>23.552344905065183</c:v>
                </c:pt>
                <c:pt idx="335">
                  <c:v>23.554489337238579</c:v>
                </c:pt>
                <c:pt idx="336">
                  <c:v>23.556628631224498</c:v>
                </c:pt>
                <c:pt idx="337">
                  <c:v>23.558762814611896</c:v>
                </c:pt>
                <c:pt idx="338">
                  <c:v>23.560891914760134</c:v>
                </c:pt>
                <c:pt idx="339">
                  <c:v>23.563015958801316</c:v>
                </c:pt>
                <c:pt idx="340">
                  <c:v>23.565134973643353</c:v>
                </c:pt>
                <c:pt idx="341">
                  <c:v>23.567248985971958</c:v>
                </c:pt>
                <c:pt idx="342">
                  <c:v>23.569358022253425</c:v>
                </c:pt>
                <c:pt idx="343">
                  <c:v>23.571462108736966</c:v>
                </c:pt>
                <c:pt idx="344">
                  <c:v>23.573561271457152</c:v>
                </c:pt>
                <c:pt idx="345">
                  <c:v>23.575655536236241</c:v>
                </c:pt>
                <c:pt idx="346">
                  <c:v>23.577744928686627</c:v>
                </c:pt>
                <c:pt idx="347">
                  <c:v>23.579829474213</c:v>
                </c:pt>
                <c:pt idx="348">
                  <c:v>23.581909198014785</c:v>
                </c:pt>
                <c:pt idx="349">
                  <c:v>23.583984125088136</c:v>
                </c:pt>
                <c:pt idx="350">
                  <c:v>23.586054280228552</c:v>
                </c:pt>
                <c:pt idx="351">
                  <c:v>23.588119688032634</c:v>
                </c:pt>
                <c:pt idx="352">
                  <c:v>23.590180372900477</c:v>
                </c:pt>
                <c:pt idx="353">
                  <c:v>23.592236359037827</c:v>
                </c:pt>
                <c:pt idx="354">
                  <c:v>23.594287670457959</c:v>
                </c:pt>
                <c:pt idx="355">
                  <c:v>23.596334330984007</c:v>
                </c:pt>
                <c:pt idx="356">
                  <c:v>23.598376364250896</c:v>
                </c:pt>
                <c:pt idx="357">
                  <c:v>23.600413793707162</c:v>
                </c:pt>
                <c:pt idx="358">
                  <c:v>23.602446642617281</c:v>
                </c:pt>
                <c:pt idx="359">
                  <c:v>23.604474934063433</c:v>
                </c:pt>
                <c:pt idx="360">
                  <c:v>23.606498690947433</c:v>
                </c:pt>
                <c:pt idx="361">
                  <c:v>23.608517935992609</c:v>
                </c:pt>
                <c:pt idx="362">
                  <c:v>23.610532691745846</c:v>
                </c:pt>
                <c:pt idx="363">
                  <c:v>23.612542980579235</c:v>
                </c:pt>
                <c:pt idx="364">
                  <c:v>23.614548824692065</c:v>
                </c:pt>
                <c:pt idx="365">
                  <c:v>23.616550246112638</c:v>
                </c:pt>
                <c:pt idx="366">
                  <c:v>23.61854726669975</c:v>
                </c:pt>
                <c:pt idx="367">
                  <c:v>23.620539908144963</c:v>
                </c:pt>
                <c:pt idx="368">
                  <c:v>23.622528191973856</c:v>
                </c:pt>
                <c:pt idx="369">
                  <c:v>23.624512139548074</c:v>
                </c:pt>
                <c:pt idx="370">
                  <c:v>23.6264917720668</c:v>
                </c:pt>
                <c:pt idx="371">
                  <c:v>23.628467110568522</c:v>
                </c:pt>
                <c:pt idx="372">
                  <c:v>23.630438175932795</c:v>
                </c:pt>
                <c:pt idx="373">
                  <c:v>23.63240498888166</c:v>
                </c:pt>
                <c:pt idx="374">
                  <c:v>23.634367569981293</c:v>
                </c:pt>
                <c:pt idx="375">
                  <c:v>23.636325939643655</c:v>
                </c:pt>
                <c:pt idx="376">
                  <c:v>23.638280118128193</c:v>
                </c:pt>
                <c:pt idx="377">
                  <c:v>23.640230125542985</c:v>
                </c:pt>
                <c:pt idx="378">
                  <c:v>23.642175981846719</c:v>
                </c:pt>
                <c:pt idx="379">
                  <c:v>23.64411770684984</c:v>
                </c:pt>
                <c:pt idx="380">
                  <c:v>23.646055320216306</c:v>
                </c:pt>
                <c:pt idx="381">
                  <c:v>23.647988841464837</c:v>
                </c:pt>
                <c:pt idx="382">
                  <c:v>23.649918289970515</c:v>
                </c:pt>
                <c:pt idx="383">
                  <c:v>23.651843684966252</c:v>
                </c:pt>
                <c:pt idx="384">
                  <c:v>23.653765045543878</c:v>
                </c:pt>
                <c:pt idx="385">
                  <c:v>23.655682390656068</c:v>
                </c:pt>
                <c:pt idx="386">
                  <c:v>23.657595739117198</c:v>
                </c:pt>
                <c:pt idx="387">
                  <c:v>23.659505109605107</c:v>
                </c:pt>
                <c:pt idx="388">
                  <c:v>23.661410520662059</c:v>
                </c:pt>
                <c:pt idx="389">
                  <c:v>23.663311990696513</c:v>
                </c:pt>
                <c:pt idx="390">
                  <c:v>23.665209537984083</c:v>
                </c:pt>
                <c:pt idx="391">
                  <c:v>23.66710318066896</c:v>
                </c:pt>
                <c:pt idx="392">
                  <c:v>23.668992936765221</c:v>
                </c:pt>
                <c:pt idx="393">
                  <c:v>23.67087882415791</c:v>
                </c:pt>
                <c:pt idx="394">
                  <c:v>23.67276086060474</c:v>
                </c:pt>
                <c:pt idx="395">
                  <c:v>23.674639063736663</c:v>
                </c:pt>
                <c:pt idx="396">
                  <c:v>23.676513451059691</c:v>
                </c:pt>
                <c:pt idx="397">
                  <c:v>23.678384039955688</c:v>
                </c:pt>
                <c:pt idx="398">
                  <c:v>23.680250847683908</c:v>
                </c:pt>
                <c:pt idx="399">
                  <c:v>23.682113891381789</c:v>
                </c:pt>
                <c:pt idx="400">
                  <c:v>23.683973188066432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DC-4BB4-9642-62A306BE969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'Req 1 (Empirical) (MATLAB)'!$A$2:$A$402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(Empirical) (MATLAB)'!$H$2:$H$402</c:f>
              <c:numCache>
                <c:formatCode>General</c:formatCode>
                <c:ptCount val="401"/>
                <c:pt idx="0">
                  <c:v>20.757323776087617</c:v>
                </c:pt>
                <c:pt idx="1">
                  <c:v>20.904519602782216</c:v>
                </c:pt>
                <c:pt idx="2">
                  <c:v>21.067980063144944</c:v>
                </c:pt>
                <c:pt idx="3">
                  <c:v>21.172148124930743</c:v>
                </c:pt>
                <c:pt idx="4">
                  <c:v>21.250320817459453</c:v>
                </c:pt>
                <c:pt idx="5">
                  <c:v>21.313581141305576</c:v>
                </c:pt>
                <c:pt idx="6">
                  <c:v>21.367069529596165</c:v>
                </c:pt>
                <c:pt idx="7">
                  <c:v>21.413615552886995</c:v>
                </c:pt>
                <c:pt idx="8">
                  <c:v>21.454952705953531</c:v>
                </c:pt>
                <c:pt idx="9">
                  <c:v>21.492224368351913</c:v>
                </c:pt>
                <c:pt idx="10">
                  <c:v>21.526226705997772</c:v>
                </c:pt>
                <c:pt idx="11">
                  <c:v>21.557537648685695</c:v>
                </c:pt>
                <c:pt idx="12">
                  <c:v>21.586590759340709</c:v>
                </c:pt>
                <c:pt idx="13">
                  <c:v>21.613720117432251</c:v>
                </c:pt>
                <c:pt idx="14">
                  <c:v>21.639188918464868</c:v>
                </c:pt>
                <c:pt idx="15">
                  <c:v>21.663208424601237</c:v>
                </c:pt>
                <c:pt idx="16">
                  <c:v>21.685950940319799</c:v>
                </c:pt>
                <c:pt idx="17">
                  <c:v>21.707558948282269</c:v>
                </c:pt>
                <c:pt idx="18">
                  <c:v>21.728151698133559</c:v>
                </c:pt>
                <c:pt idx="19">
                  <c:v>21.747830058826878</c:v>
                </c:pt>
                <c:pt idx="20">
                  <c:v>21.766680158433928</c:v>
                </c:pt>
                <c:pt idx="21">
                  <c:v>21.784776159266244</c:v>
                </c:pt>
                <c:pt idx="22">
                  <c:v>21.802182404698158</c:v>
                </c:pt>
                <c:pt idx="23">
                  <c:v>21.818955101752465</c:v>
                </c:pt>
                <c:pt idx="24">
                  <c:v>21.83514365546165</c:v>
                </c:pt>
                <c:pt idx="25">
                  <c:v>21.850791738445196</c:v>
                </c:pt>
                <c:pt idx="26">
                  <c:v>21.865938156639118</c:v>
                </c:pt>
                <c:pt idx="27">
                  <c:v>21.880617556306788</c:v>
                </c:pt>
                <c:pt idx="28">
                  <c:v>21.894861006180008</c:v>
                </c:pt>
                <c:pt idx="29">
                  <c:v>21.908696480420815</c:v>
                </c:pt>
                <c:pt idx="30">
                  <c:v>21.922149262110679</c:v>
                </c:pt>
                <c:pt idx="31">
                  <c:v>21.935242282537843</c:v>
                </c:pt>
                <c:pt idx="32">
                  <c:v>21.947996408223901</c:v>
                </c:pt>
                <c:pt idx="33">
                  <c:v>21.960430685109714</c:v>
                </c:pt>
                <c:pt idx="34">
                  <c:v>21.972562547389828</c:v>
                </c:pt>
                <c:pt idx="35">
                  <c:v>21.984407996995742</c:v>
                </c:pt>
                <c:pt idx="36">
                  <c:v>21.995981758568178</c:v>
                </c:pt>
                <c:pt idx="37">
                  <c:v>22.007297413849358</c:v>
                </c:pt>
                <c:pt idx="38">
                  <c:v>22.018367518707294</c:v>
                </c:pt>
                <c:pt idx="39">
                  <c:v>22.029203705431428</c:v>
                </c:pt>
                <c:pt idx="40">
                  <c:v>22.039816772481515</c:v>
                </c:pt>
                <c:pt idx="41">
                  <c:v>22.050216763501851</c:v>
                </c:pt>
                <c:pt idx="42">
                  <c:v>22.060413037114358</c:v>
                </c:pt>
                <c:pt idx="43">
                  <c:v>22.070414328758488</c:v>
                </c:pt>
                <c:pt idx="44">
                  <c:v>22.080228805647891</c:v>
                </c:pt>
                <c:pt idx="45">
                  <c:v>22.089864115747844</c:v>
                </c:pt>
                <c:pt idx="46">
                  <c:v>22.099327431542008</c:v>
                </c:pt>
                <c:pt idx="47">
                  <c:v>22.108625489243082</c:v>
                </c:pt>
                <c:pt idx="48">
                  <c:v>22.117764624008601</c:v>
                </c:pt>
                <c:pt idx="49">
                  <c:v>22.126750801642686</c:v>
                </c:pt>
                <c:pt idx="50">
                  <c:v>22.135589647198856</c:v>
                </c:pt>
                <c:pt idx="51">
                  <c:v>22.144286470842985</c:v>
                </c:pt>
                <c:pt idx="52">
                  <c:v>22.152846291285982</c:v>
                </c:pt>
                <c:pt idx="53">
                  <c:v>22.161273857058006</c:v>
                </c:pt>
                <c:pt idx="54">
                  <c:v>22.169573665858934</c:v>
                </c:pt>
                <c:pt idx="55">
                  <c:v>22.177749982191983</c:v>
                </c:pt>
                <c:pt idx="56">
                  <c:v>22.185806853460349</c:v>
                </c:pt>
                <c:pt idx="57">
                  <c:v>22.193748124686579</c:v>
                </c:pt>
                <c:pt idx="58">
                  <c:v>22.201577451994012</c:v>
                </c:pt>
                <c:pt idx="59">
                  <c:v>22.209298314973921</c:v>
                </c:pt>
                <c:pt idx="60">
                  <c:v>22.216914028048052</c:v>
                </c:pt>
                <c:pt idx="61">
                  <c:v>22.224427750923041</c:v>
                </c:pt>
                <c:pt idx="62">
                  <c:v>22.231842498223159</c:v>
                </c:pt>
                <c:pt idx="63">
                  <c:v>22.23916114837823</c:v>
                </c:pt>
                <c:pt idx="64">
                  <c:v>22.246386451835008</c:v>
                </c:pt>
                <c:pt idx="65">
                  <c:v>22.253521038653048</c:v>
                </c:pt>
                <c:pt idx="66">
                  <c:v>22.260567425540842</c:v>
                </c:pt>
                <c:pt idx="67">
                  <c:v>22.267528022379679</c:v>
                </c:pt>
                <c:pt idx="68">
                  <c:v>22.274405138281622</c:v>
                </c:pt>
                <c:pt idx="69">
                  <c:v>22.281200987219165</c:v>
                </c:pt>
                <c:pt idx="70">
                  <c:v>22.287917693264205</c:v>
                </c:pt>
                <c:pt idx="71">
                  <c:v>22.294557295467996</c:v>
                </c:pt>
                <c:pt idx="72">
                  <c:v>22.301121752410722</c:v>
                </c:pt>
                <c:pt idx="73">
                  <c:v>22.307612946449069</c:v>
                </c:pt>
                <c:pt idx="74">
                  <c:v>22.31403268768338</c:v>
                </c:pt>
                <c:pt idx="75">
                  <c:v>22.320382717668792</c:v>
                </c:pt>
                <c:pt idx="76">
                  <c:v>22.326664712888146</c:v>
                </c:pt>
                <c:pt idx="77">
                  <c:v>22.332880288005981</c:v>
                </c:pt>
                <c:pt idx="78">
                  <c:v>22.339030998919725</c:v>
                </c:pt>
                <c:pt idx="79">
                  <c:v>22.345118345623291</c:v>
                </c:pt>
                <c:pt idx="80">
                  <c:v>22.351143774896457</c:v>
                </c:pt>
                <c:pt idx="81">
                  <c:v>22.357108682833257</c:v>
                </c:pt>
                <c:pt idx="82">
                  <c:v>22.36301441722037</c:v>
                </c:pt>
                <c:pt idx="83">
                  <c:v>22.368862279776295</c:v>
                </c:pt>
                <c:pt idx="84">
                  <c:v>22.374653528261263</c:v>
                </c:pt>
                <c:pt idx="85">
                  <c:v>22.380389378466532</c:v>
                </c:pt>
                <c:pt idx="86">
                  <c:v>22.386071006091015</c:v>
                </c:pt>
                <c:pt idx="87">
                  <c:v>22.391699548513827</c:v>
                </c:pt>
                <c:pt idx="88">
                  <c:v>22.39727610646861</c:v>
                </c:pt>
                <c:pt idx="89">
                  <c:v>22.402801745626277</c:v>
                </c:pt>
                <c:pt idx="90">
                  <c:v>22.408277498093355</c:v>
                </c:pt>
                <c:pt idx="91">
                  <c:v>22.413704363829254</c:v>
                </c:pt>
                <c:pt idx="92">
                  <c:v>22.419083311989539</c:v>
                </c:pt>
                <c:pt idx="93">
                  <c:v>22.42441528219905</c:v>
                </c:pt>
                <c:pt idx="94">
                  <c:v>22.429701185758915</c:v>
                </c:pt>
                <c:pt idx="95">
                  <c:v>22.434941906792346</c:v>
                </c:pt>
                <c:pt idx="96">
                  <c:v>22.440138303332162</c:v>
                </c:pt>
                <c:pt idx="97">
                  <c:v>22.445291208354547</c:v>
                </c:pt>
                <c:pt idx="98">
                  <c:v>22.450401430760678</c:v>
                </c:pt>
                <c:pt idx="99">
                  <c:v>22.455469756311231</c:v>
                </c:pt>
                <c:pt idx="100">
                  <c:v>22.460496948515129</c:v>
                </c:pt>
                <c:pt idx="101">
                  <c:v>22.465483749475368</c:v>
                </c:pt>
                <c:pt idx="102">
                  <c:v>22.470430880695176</c:v>
                </c:pt>
                <c:pt idx="103">
                  <c:v>22.47533904384602</c:v>
                </c:pt>
                <c:pt idx="104">
                  <c:v>22.480208921499411</c:v>
                </c:pt>
                <c:pt idx="105">
                  <c:v>22.485041177825735</c:v>
                </c:pt>
                <c:pt idx="106">
                  <c:v>22.489836459260403</c:v>
                </c:pt>
                <c:pt idx="107">
                  <c:v>22.494595395140038</c:v>
                </c:pt>
                <c:pt idx="108">
                  <c:v>22.499318598310424</c:v>
                </c:pt>
                <c:pt idx="109">
                  <c:v>22.504006665706981</c:v>
                </c:pt>
                <c:pt idx="110">
                  <c:v>22.508660178909849</c:v>
                </c:pt>
                <c:pt idx="111">
                  <c:v>22.513279704674915</c:v>
                </c:pt>
                <c:pt idx="112">
                  <c:v>22.517865795441594</c:v>
                </c:pt>
                <c:pt idx="113">
                  <c:v>22.522418989819016</c:v>
                </c:pt>
                <c:pt idx="114">
                  <c:v>22.526939813051342</c:v>
                </c:pt>
                <c:pt idx="115">
                  <c:v>22.53142877746393</c:v>
                </c:pt>
                <c:pt idx="116">
                  <c:v>22.535886382890169</c:v>
                </c:pt>
                <c:pt idx="117">
                  <c:v>22.540313117081439</c:v>
                </c:pt>
                <c:pt idx="118">
                  <c:v>22.544709456099611</c:v>
                </c:pt>
                <c:pt idx="119">
                  <c:v>22.549075864693862</c:v>
                </c:pt>
                <c:pt idx="120">
                  <c:v>22.553412796662258</c:v>
                </c:pt>
                <c:pt idx="121">
                  <c:v>22.557720695198782</c:v>
                </c:pt>
                <c:pt idx="122">
                  <c:v>22.561999993226891</c:v>
                </c:pt>
                <c:pt idx="123">
                  <c:v>22.566251113719318</c:v>
                </c:pt>
                <c:pt idx="124">
                  <c:v>22.570474470006104</c:v>
                </c:pt>
                <c:pt idx="125">
                  <c:v>22.574670466070074</c:v>
                </c:pt>
                <c:pt idx="126">
                  <c:v>22.578839496831677</c:v>
                </c:pt>
                <c:pt idx="127">
                  <c:v>22.582981948422002</c:v>
                </c:pt>
                <c:pt idx="128">
                  <c:v>22.58709819844654</c:v>
                </c:pt>
                <c:pt idx="129">
                  <c:v>22.591188616238185</c:v>
                </c:pt>
                <c:pt idx="130">
                  <c:v>22.595253563101267</c:v>
                </c:pt>
                <c:pt idx="131">
                  <c:v>22.599293392546429</c:v>
                </c:pt>
                <c:pt idx="132">
                  <c:v>22.603308450516977</c:v>
                </c:pt>
                <c:pt idx="133">
                  <c:v>22.607299075606932</c:v>
                </c:pt>
                <c:pt idx="134">
                  <c:v>22.611265599271121</c:v>
                </c:pt>
                <c:pt idx="135">
                  <c:v>22.615208346027998</c:v>
                </c:pt>
                <c:pt idx="136">
                  <c:v>22.619127633654841</c:v>
                </c:pt>
                <c:pt idx="137">
                  <c:v>22.623023773376531</c:v>
                </c:pt>
                <c:pt idx="138">
                  <c:v>22.626897070047448</c:v>
                </c:pt>
                <c:pt idx="139">
                  <c:v>22.630747822326896</c:v>
                </c:pt>
                <c:pt idx="140">
                  <c:v>22.634576322848773</c:v>
                </c:pt>
                <c:pt idx="141">
                  <c:v>22.638382858385398</c:v>
                </c:pt>
                <c:pt idx="142">
                  <c:v>22.642167710005253</c:v>
                </c:pt>
                <c:pt idx="143">
                  <c:v>22.645931153226286</c:v>
                </c:pt>
                <c:pt idx="144">
                  <c:v>22.649673458163079</c:v>
                </c:pt>
                <c:pt idx="145">
                  <c:v>22.653394889670096</c:v>
                </c:pt>
                <c:pt idx="146">
                  <c:v>22.657095707479129</c:v>
                </c:pt>
                <c:pt idx="147">
                  <c:v>22.660776166333108</c:v>
                </c:pt>
                <c:pt idx="148">
                  <c:v>22.664436516115302</c:v>
                </c:pt>
                <c:pt idx="149">
                  <c:v>22.668077001973757</c:v>
                </c:pt>
                <c:pt idx="150">
                  <c:v>22.671697864442763</c:v>
                </c:pt>
                <c:pt idx="151">
                  <c:v>22.675299339559444</c:v>
                </c:pt>
                <c:pt idx="152">
                  <c:v>22.678881658977105</c:v>
                </c:pt>
                <c:pt idx="153">
                  <c:v>22.682445050075273</c:v>
                </c:pt>
                <c:pt idx="154">
                  <c:v>22.685989736065494</c:v>
                </c:pt>
                <c:pt idx="155">
                  <c:v>22.689515936094665</c:v>
                </c:pt>
                <c:pt idx="156">
                  <c:v>22.693023865344514</c:v>
                </c:pt>
                <c:pt idx="157">
                  <c:v>22.696513735128519</c:v>
                </c:pt>
                <c:pt idx="158">
                  <c:v>22.699985752985526</c:v>
                </c:pt>
                <c:pt idx="159">
                  <c:v>22.70344012277053</c:v>
                </c:pt>
                <c:pt idx="160">
                  <c:v>22.706877044743123</c:v>
                </c:pt>
                <c:pt idx="161">
                  <c:v>22.710296715652589</c:v>
                </c:pt>
                <c:pt idx="162">
                  <c:v>22.713699328821235</c:v>
                </c:pt>
                <c:pt idx="163">
                  <c:v>22.717085074224428</c:v>
                </c:pt>
                <c:pt idx="164">
                  <c:v>22.720454138569266</c:v>
                </c:pt>
                <c:pt idx="165">
                  <c:v>22.723806705369725</c:v>
                </c:pt>
                <c:pt idx="166">
                  <c:v>22.727142955020952</c:v>
                </c:pt>
                <c:pt idx="167">
                  <c:v>22.730463064870264</c:v>
                </c:pt>
                <c:pt idx="168">
                  <c:v>22.733767209286725</c:v>
                </c:pt>
                <c:pt idx="169">
                  <c:v>22.737055559728674</c:v>
                </c:pt>
                <c:pt idx="170">
                  <c:v>22.740328284809095</c:v>
                </c:pt>
                <c:pt idx="171">
                  <c:v>22.743585550359455</c:v>
                </c:pt>
                <c:pt idx="172">
                  <c:v>22.74682751949149</c:v>
                </c:pt>
                <c:pt idx="173">
                  <c:v>22.75005435265723</c:v>
                </c:pt>
                <c:pt idx="174">
                  <c:v>22.753266207707782</c:v>
                </c:pt>
                <c:pt idx="175">
                  <c:v>22.756463239949994</c:v>
                </c:pt>
                <c:pt idx="176">
                  <c:v>22.759645602201886</c:v>
                </c:pt>
                <c:pt idx="177">
                  <c:v>22.762813444846188</c:v>
                </c:pt>
                <c:pt idx="178">
                  <c:v>22.765966915883041</c:v>
                </c:pt>
                <c:pt idx="179">
                  <c:v>22.769106160980698</c:v>
                </c:pt>
                <c:pt idx="180">
                  <c:v>22.772231323525205</c:v>
                </c:pt>
                <c:pt idx="181">
                  <c:v>22.775342544668376</c:v>
                </c:pt>
                <c:pt idx="182">
                  <c:v>22.778439963375092</c:v>
                </c:pt>
                <c:pt idx="183">
                  <c:v>22.781523716468939</c:v>
                </c:pt>
                <c:pt idx="184">
                  <c:v>22.784593938676551</c:v>
                </c:pt>
                <c:pt idx="185">
                  <c:v>22.787650762671035</c:v>
                </c:pt>
                <c:pt idx="186">
                  <c:v>22.790694319114266</c:v>
                </c:pt>
                <c:pt idx="187">
                  <c:v>22.793724736698096</c:v>
                </c:pt>
                <c:pt idx="188">
                  <c:v>22.796742142184257</c:v>
                </c:pt>
                <c:pt idx="189">
                  <c:v>22.799746660443418</c:v>
                </c:pt>
                <c:pt idx="190">
                  <c:v>22.80273841449349</c:v>
                </c:pt>
                <c:pt idx="191">
                  <c:v>22.805717525536465</c:v>
                </c:pt>
                <c:pt idx="192">
                  <c:v>22.80868411299474</c:v>
                </c:pt>
                <c:pt idx="193">
                  <c:v>22.811638294546185</c:v>
                </c:pt>
                <c:pt idx="194">
                  <c:v>22.814580186158878</c:v>
                </c:pt>
                <c:pt idx="195">
                  <c:v>22.8175099021243</c:v>
                </c:pt>
                <c:pt idx="196">
                  <c:v>22.820427555090248</c:v>
                </c:pt>
                <c:pt idx="197">
                  <c:v>22.82333325609261</c:v>
                </c:pt>
                <c:pt idx="198">
                  <c:v>22.826227114586516</c:v>
                </c:pt>
                <c:pt idx="199">
                  <c:v>22.82910923847686</c:v>
                </c:pt>
                <c:pt idx="200">
                  <c:v>22.831979734147808</c:v>
                </c:pt>
                <c:pt idx="201">
                  <c:v>22.83483870649161</c:v>
                </c:pt>
                <c:pt idx="202">
                  <c:v>22.83768625893714</c:v>
                </c:pt>
                <c:pt idx="203">
                  <c:v>22.840522493477295</c:v>
                </c:pt>
                <c:pt idx="204">
                  <c:v>22.843347510695708</c:v>
                </c:pt>
                <c:pt idx="205">
                  <c:v>22.846161409793353</c:v>
                </c:pt>
                <c:pt idx="206">
                  <c:v>22.848964288614241</c:v>
                </c:pt>
                <c:pt idx="207">
                  <c:v>22.851756243669968</c:v>
                </c:pt>
                <c:pt idx="208">
                  <c:v>22.854537370164849</c:v>
                </c:pt>
                <c:pt idx="209">
                  <c:v>22.857307762019445</c:v>
                </c:pt>
                <c:pt idx="210">
                  <c:v>22.860067511893931</c:v>
                </c:pt>
                <c:pt idx="211">
                  <c:v>22.862816711211167</c:v>
                </c:pt>
                <c:pt idx="212">
                  <c:v>22.865555450178817</c:v>
                </c:pt>
                <c:pt idx="213">
                  <c:v>22.868283817811118</c:v>
                </c:pt>
                <c:pt idx="214">
                  <c:v>22.871001901950422</c:v>
                </c:pt>
                <c:pt idx="215">
                  <c:v>22.873709789287773</c:v>
                </c:pt>
                <c:pt idx="216">
                  <c:v>22.876407565383431</c:v>
                </c:pt>
                <c:pt idx="217">
                  <c:v>22.879095314686822</c:v>
                </c:pt>
                <c:pt idx="218">
                  <c:v>22.88177312055592</c:v>
                </c:pt>
                <c:pt idx="219">
                  <c:v>22.884441065276235</c:v>
                </c:pt>
                <c:pt idx="220">
                  <c:v>22.887099230079627</c:v>
                </c:pt>
                <c:pt idx="221">
                  <c:v>22.889747695162384</c:v>
                </c:pt>
                <c:pt idx="222">
                  <c:v>22.892386539703182</c:v>
                </c:pt>
                <c:pt idx="223">
                  <c:v>22.895015841880365</c:v>
                </c:pt>
                <c:pt idx="224">
                  <c:v>22.89763567888906</c:v>
                </c:pt>
                <c:pt idx="225">
                  <c:v>22.900246126957995</c:v>
                </c:pt>
                <c:pt idx="226">
                  <c:v>22.902847261365707</c:v>
                </c:pt>
                <c:pt idx="227">
                  <c:v>22.905439156456566</c:v>
                </c:pt>
                <c:pt idx="228">
                  <c:v>22.908021885656524</c:v>
                </c:pt>
                <c:pt idx="229">
                  <c:v>22.910595521488233</c:v>
                </c:pt>
                <c:pt idx="230">
                  <c:v>22.913160135586281</c:v>
                </c:pt>
                <c:pt idx="231">
                  <c:v>22.915715798711801</c:v>
                </c:pt>
                <c:pt idx="232">
                  <c:v>22.918262580766793</c:v>
                </c:pt>
                <c:pt idx="233">
                  <c:v>22.920800550808224</c:v>
                </c:pt>
                <c:pt idx="234">
                  <c:v>22.923329777061952</c:v>
                </c:pt>
                <c:pt idx="235">
                  <c:v>22.925850326936086</c:v>
                </c:pt>
                <c:pt idx="236">
                  <c:v>22.928362267034288</c:v>
                </c:pt>
                <c:pt idx="237">
                  <c:v>22.930865663168845</c:v>
                </c:pt>
                <c:pt idx="238">
                  <c:v>22.933360580373176</c:v>
                </c:pt>
                <c:pt idx="239">
                  <c:v>22.935847082914393</c:v>
                </c:pt>
                <c:pt idx="240">
                  <c:v>22.938325234305466</c:v>
                </c:pt>
                <c:pt idx="241">
                  <c:v>22.940795097317277</c:v>
                </c:pt>
                <c:pt idx="242">
                  <c:v>22.943256733990154</c:v>
                </c:pt>
                <c:pt idx="243">
                  <c:v>22.945710205645526</c:v>
                </c:pt>
                <c:pt idx="244">
                  <c:v>22.948155572897065</c:v>
                </c:pt>
                <c:pt idx="245">
                  <c:v>22.950592895661885</c:v>
                </c:pt>
                <c:pt idx="246">
                  <c:v>22.953022233171055</c:v>
                </c:pt>
                <c:pt idx="247">
                  <c:v>22.955443643980516</c:v>
                </c:pt>
                <c:pt idx="248">
                  <c:v>22.957857185981425</c:v>
                </c:pt>
                <c:pt idx="249">
                  <c:v>22.960262916410102</c:v>
                </c:pt>
                <c:pt idx="250">
                  <c:v>22.962660891858434</c:v>
                </c:pt>
                <c:pt idx="251">
                  <c:v>22.965051168283253</c:v>
                </c:pt>
                <c:pt idx="252">
                  <c:v>22.967433801016341</c:v>
                </c:pt>
                <c:pt idx="253">
                  <c:v>22.969808844773638</c:v>
                </c:pt>
                <c:pt idx="254">
                  <c:v>22.972176353664622</c:v>
                </c:pt>
                <c:pt idx="255">
                  <c:v>22.97453638120129</c:v>
                </c:pt>
                <c:pt idx="256">
                  <c:v>22.976888980307194</c:v>
                </c:pt>
                <c:pt idx="257">
                  <c:v>22.97923420332603</c:v>
                </c:pt>
                <c:pt idx="258">
                  <c:v>22.981572102030327</c:v>
                </c:pt>
                <c:pt idx="259">
                  <c:v>22.983902727629925</c:v>
                </c:pt>
                <c:pt idx="260">
                  <c:v>22.98622613078004</c:v>
                </c:pt>
                <c:pt idx="261">
                  <c:v>22.98854236158968</c:v>
                </c:pt>
                <c:pt idx="262">
                  <c:v>22.99085146962932</c:v>
                </c:pt>
                <c:pt idx="263">
                  <c:v>22.993153503938856</c:v>
                </c:pt>
                <c:pt idx="264">
                  <c:v>22.995448513035285</c:v>
                </c:pt>
                <c:pt idx="265">
                  <c:v>22.997736544920144</c:v>
                </c:pt>
                <c:pt idx="266">
                  <c:v>23.000017647087077</c:v>
                </c:pt>
                <c:pt idx="267">
                  <c:v>23.002291866528992</c:v>
                </c:pt>
                <c:pt idx="268">
                  <c:v>23.004559249745171</c:v>
                </c:pt>
                <c:pt idx="269">
                  <c:v>23.006819842748314</c:v>
                </c:pt>
                <c:pt idx="270">
                  <c:v>23.009073691071478</c:v>
                </c:pt>
                <c:pt idx="271">
                  <c:v>23.011320839774783</c:v>
                </c:pt>
                <c:pt idx="272">
                  <c:v>23.013561333452003</c:v>
                </c:pt>
                <c:pt idx="273">
                  <c:v>23.015795216237109</c:v>
                </c:pt>
                <c:pt idx="274">
                  <c:v>23.018022531810857</c:v>
                </c:pt>
                <c:pt idx="275">
                  <c:v>23.020243323406703</c:v>
                </c:pt>
                <c:pt idx="276">
                  <c:v>23.022457633817453</c:v>
                </c:pt>
                <c:pt idx="277">
                  <c:v>23.024665505400947</c:v>
                </c:pt>
                <c:pt idx="278">
                  <c:v>23.026866980086197</c:v>
                </c:pt>
                <c:pt idx="279">
                  <c:v>23.02906209937936</c:v>
                </c:pt>
                <c:pt idx="280">
                  <c:v>23.031250904369301</c:v>
                </c:pt>
                <c:pt idx="281">
                  <c:v>23.033433435733343</c:v>
                </c:pt>
                <c:pt idx="282">
                  <c:v>23.035609733742888</c:v>
                </c:pt>
                <c:pt idx="283">
                  <c:v>23.037779838268818</c:v>
                </c:pt>
                <c:pt idx="284">
                  <c:v>23.039943788787014</c:v>
                </c:pt>
                <c:pt idx="285">
                  <c:v>23.042101624383463</c:v>
                </c:pt>
                <c:pt idx="286">
                  <c:v>23.044253383759553</c:v>
                </c:pt>
                <c:pt idx="287">
                  <c:v>23.046399105237185</c:v>
                </c:pt>
                <c:pt idx="288">
                  <c:v>23.048538826763888</c:v>
                </c:pt>
                <c:pt idx="289">
                  <c:v>23.050672585917539</c:v>
                </c:pt>
                <c:pt idx="290">
                  <c:v>23.052800419911534</c:v>
                </c:pt>
                <c:pt idx="291">
                  <c:v>23.054922365599339</c:v>
                </c:pt>
                <c:pt idx="292">
                  <c:v>23.057038459479145</c:v>
                </c:pt>
                <c:pt idx="293">
                  <c:v>23.059148737698877</c:v>
                </c:pt>
                <c:pt idx="294">
                  <c:v>23.061253236060224</c:v>
                </c:pt>
                <c:pt idx="295">
                  <c:v>23.063351990023591</c:v>
                </c:pt>
                <c:pt idx="296">
                  <c:v>23.06544503471207</c:v>
                </c:pt>
                <c:pt idx="297">
                  <c:v>23.067532404916221</c:v>
                </c:pt>
                <c:pt idx="298">
                  <c:v>23.069614135097879</c:v>
                </c:pt>
                <c:pt idx="299">
                  <c:v>23.071690259394813</c:v>
                </c:pt>
                <c:pt idx="300">
                  <c:v>23.073760811624481</c:v>
                </c:pt>
                <c:pt idx="301">
                  <c:v>23.075825825288177</c:v>
                </c:pt>
                <c:pt idx="302">
                  <c:v>23.077885333575125</c:v>
                </c:pt>
                <c:pt idx="303">
                  <c:v>23.0799393693664</c:v>
                </c:pt>
                <c:pt idx="304">
                  <c:v>23.081987965238739</c:v>
                </c:pt>
                <c:pt idx="305">
                  <c:v>23.084031153468402</c:v>
                </c:pt>
                <c:pt idx="306">
                  <c:v>23.086068966034702</c:v>
                </c:pt>
                <c:pt idx="307">
                  <c:v>23.08810143462415</c:v>
                </c:pt>
                <c:pt idx="308">
                  <c:v>23.09012859063364</c:v>
                </c:pt>
                <c:pt idx="309">
                  <c:v>23.0921504651742</c:v>
                </c:pt>
                <c:pt idx="310">
                  <c:v>23.094167089074631</c:v>
                </c:pt>
                <c:pt idx="311">
                  <c:v>23.096178492884746</c:v>
                </c:pt>
                <c:pt idx="312">
                  <c:v>23.098184706878953</c:v>
                </c:pt>
                <c:pt idx="313">
                  <c:v>23.100185761059493</c:v>
                </c:pt>
                <c:pt idx="314">
                  <c:v>23.102181685159792</c:v>
                </c:pt>
                <c:pt idx="315">
                  <c:v>23.104172508647878</c:v>
                </c:pt>
                <c:pt idx="316">
                  <c:v>23.106158260729273</c:v>
                </c:pt>
                <c:pt idx="317">
                  <c:v>23.10813897035041</c:v>
                </c:pt>
                <c:pt idx="318">
                  <c:v>23.110114666201582</c:v>
                </c:pt>
                <c:pt idx="319">
                  <c:v>23.112085376720188</c:v>
                </c:pt>
                <c:pt idx="320">
                  <c:v>23.114051130093571</c:v>
                </c:pt>
                <c:pt idx="321">
                  <c:v>23.116011954262035</c:v>
                </c:pt>
                <c:pt idx="322">
                  <c:v>23.117967876921796</c:v>
                </c:pt>
                <c:pt idx="323">
                  <c:v>23.119918925527941</c:v>
                </c:pt>
                <c:pt idx="324">
                  <c:v>23.121865127297156</c:v>
                </c:pt>
                <c:pt idx="325">
                  <c:v>23.123806509210567</c:v>
                </c:pt>
                <c:pt idx="326">
                  <c:v>23.125743098016414</c:v>
                </c:pt>
                <c:pt idx="327">
                  <c:v>23.127674920233005</c:v>
                </c:pt>
                <c:pt idx="328">
                  <c:v>23.129602002151103</c:v>
                </c:pt>
                <c:pt idx="329">
                  <c:v>23.131524369836711</c:v>
                </c:pt>
                <c:pt idx="330">
                  <c:v>23.133442049133748</c:v>
                </c:pt>
                <c:pt idx="331">
                  <c:v>23.135355065666488</c:v>
                </c:pt>
                <c:pt idx="332">
                  <c:v>23.137263444842063</c:v>
                </c:pt>
                <c:pt idx="333">
                  <c:v>23.139167211852964</c:v>
                </c:pt>
                <c:pt idx="334">
                  <c:v>23.141066391679715</c:v>
                </c:pt>
                <c:pt idx="335">
                  <c:v>23.142961009092915</c:v>
                </c:pt>
                <c:pt idx="336">
                  <c:v>23.144851088655855</c:v>
                </c:pt>
                <c:pt idx="337">
                  <c:v>23.146736654727022</c:v>
                </c:pt>
                <c:pt idx="338">
                  <c:v>23.148617731461854</c:v>
                </c:pt>
                <c:pt idx="339">
                  <c:v>23.150494342815705</c:v>
                </c:pt>
                <c:pt idx="340">
                  <c:v>23.152366512545655</c:v>
                </c:pt>
                <c:pt idx="341">
                  <c:v>23.154234264212732</c:v>
                </c:pt>
                <c:pt idx="342">
                  <c:v>23.156097621184415</c:v>
                </c:pt>
                <c:pt idx="343">
                  <c:v>23.15795660663639</c:v>
                </c:pt>
                <c:pt idx="344">
                  <c:v>23.159811243555055</c:v>
                </c:pt>
                <c:pt idx="345">
                  <c:v>23.161661554739226</c:v>
                </c:pt>
                <c:pt idx="346">
                  <c:v>23.163507562802636</c:v>
                </c:pt>
                <c:pt idx="347">
                  <c:v>23.165349290175527</c:v>
                </c:pt>
                <c:pt idx="348">
                  <c:v>23.167186759106983</c:v>
                </c:pt>
                <c:pt idx="349">
                  <c:v>23.169019991666858</c:v>
                </c:pt>
                <c:pt idx="350">
                  <c:v>23.170849009747542</c:v>
                </c:pt>
                <c:pt idx="351">
                  <c:v>23.172673835066121</c:v>
                </c:pt>
                <c:pt idx="352">
                  <c:v>23.174494489166136</c:v>
                </c:pt>
                <c:pt idx="353">
                  <c:v>23.176310993419577</c:v>
                </c:pt>
                <c:pt idx="354">
                  <c:v>23.178123369028583</c:v>
                </c:pt>
                <c:pt idx="355">
                  <c:v>23.17993163702738</c:v>
                </c:pt>
                <c:pt idx="356">
                  <c:v>23.181735818283926</c:v>
                </c:pt>
                <c:pt idx="357">
                  <c:v>23.183535933502014</c:v>
                </c:pt>
                <c:pt idx="358">
                  <c:v>23.185332003222697</c:v>
                </c:pt>
                <c:pt idx="359">
                  <c:v>23.187124047826103</c:v>
                </c:pt>
                <c:pt idx="360">
                  <c:v>23.188912087533197</c:v>
                </c:pt>
                <c:pt idx="361">
                  <c:v>23.190696142407489</c:v>
                </c:pt>
                <c:pt idx="362">
                  <c:v>23.192476232356626</c:v>
                </c:pt>
                <c:pt idx="363">
                  <c:v>23.194252377133921</c:v>
                </c:pt>
                <c:pt idx="364">
                  <c:v>23.196024596340294</c:v>
                </c:pt>
                <c:pt idx="365">
                  <c:v>23.197792909425516</c:v>
                </c:pt>
                <c:pt idx="366">
                  <c:v>23.199557335689974</c:v>
                </c:pt>
                <c:pt idx="367">
                  <c:v>23.201317894286206</c:v>
                </c:pt>
                <c:pt idx="368">
                  <c:v>23.203074604220376</c:v>
                </c:pt>
                <c:pt idx="369">
                  <c:v>23.204827484353928</c:v>
                </c:pt>
                <c:pt idx="370">
                  <c:v>23.20657655340483</c:v>
                </c:pt>
                <c:pt idx="371">
                  <c:v>23.208321829949227</c:v>
                </c:pt>
                <c:pt idx="372">
                  <c:v>23.210063332422919</c:v>
                </c:pt>
                <c:pt idx="373">
                  <c:v>23.211801079122665</c:v>
                </c:pt>
                <c:pt idx="374">
                  <c:v>23.213535088207777</c:v>
                </c:pt>
                <c:pt idx="375">
                  <c:v>23.215265377701314</c:v>
                </c:pt>
                <c:pt idx="376">
                  <c:v>23.216991965491616</c:v>
                </c:pt>
                <c:pt idx="377">
                  <c:v>23.21871486933361</c:v>
                </c:pt>
                <c:pt idx="378">
                  <c:v>23.220434106850121</c:v>
                </c:pt>
                <c:pt idx="379">
                  <c:v>23.22214969553329</c:v>
                </c:pt>
                <c:pt idx="380">
                  <c:v>23.223861652745825</c:v>
                </c:pt>
                <c:pt idx="381">
                  <c:v>23.225569995722367</c:v>
                </c:pt>
                <c:pt idx="382">
                  <c:v>23.227274741570568</c:v>
                </c:pt>
                <c:pt idx="383">
                  <c:v>23.228975907272684</c:v>
                </c:pt>
                <c:pt idx="384">
                  <c:v>23.230673509686483</c:v>
                </c:pt>
                <c:pt idx="385">
                  <c:v>23.232367565546724</c:v>
                </c:pt>
                <c:pt idx="386">
                  <c:v>23.234058091466238</c:v>
                </c:pt>
                <c:pt idx="387">
                  <c:v>23.235745103937177</c:v>
                </c:pt>
                <c:pt idx="388">
                  <c:v>23.237428619332263</c:v>
                </c:pt>
                <c:pt idx="389">
                  <c:v>23.23910865390576</c:v>
                </c:pt>
                <c:pt idx="390">
                  <c:v>23.240785223794887</c:v>
                </c:pt>
                <c:pt idx="391">
                  <c:v>23.242458345020793</c:v>
                </c:pt>
                <c:pt idx="392">
                  <c:v>23.244128033489744</c:v>
                </c:pt>
                <c:pt idx="393">
                  <c:v>23.245794304994149</c:v>
                </c:pt>
                <c:pt idx="394">
                  <c:v>23.24745717521381</c:v>
                </c:pt>
                <c:pt idx="395">
                  <c:v>23.249116659717004</c:v>
                </c:pt>
                <c:pt idx="396">
                  <c:v>23.250772773961387</c:v>
                </c:pt>
                <c:pt idx="397">
                  <c:v>23.252425533295138</c:v>
                </c:pt>
                <c:pt idx="398">
                  <c:v>23.254074952958092</c:v>
                </c:pt>
                <c:pt idx="399">
                  <c:v>23.255721048082762</c:v>
                </c:pt>
                <c:pt idx="400">
                  <c:v>23.257363833695138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DC-4BB4-9642-62A306BE9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15199"/>
        <c:axId val="723814239"/>
      </c:scatterChart>
      <c:valAx>
        <c:axId val="723815199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14239"/>
        <c:crosses val="autoZero"/>
        <c:crossBetween val="midCat"/>
      </c:valAx>
      <c:valAx>
        <c:axId val="723814239"/>
        <c:scaling>
          <c:orientation val="minMax"/>
          <c:max val="3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1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Ts,local</a:t>
            </a:r>
            <a:r>
              <a:rPr lang="en-US" baseline="0"/>
              <a:t> Vs x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'Req 1 comparison'!$B$1</c:f>
              <c:strCache>
                <c:ptCount val="1"/>
                <c:pt idx="0">
                  <c:v>Ts (Numerical)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'Req 1 comparison'!$A$2:$A$402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comparison'!$B$2:$B$402</c:f>
              <c:numCache>
                <c:formatCode>0.0000000</c:formatCode>
                <c:ptCount val="401"/>
                <c:pt idx="0">
                  <c:v>21.217450299999999</c:v>
                </c:pt>
                <c:pt idx="1">
                  <c:v>21.329953199999999</c:v>
                </c:pt>
                <c:pt idx="2">
                  <c:v>21.567516099999999</c:v>
                </c:pt>
                <c:pt idx="3">
                  <c:v>21.804744199999998</c:v>
                </c:pt>
                <c:pt idx="4">
                  <c:v>22.008467799999998</c:v>
                </c:pt>
                <c:pt idx="5">
                  <c:v>22.172680100000001</c:v>
                </c:pt>
                <c:pt idx="6">
                  <c:v>22.3017012</c:v>
                </c:pt>
                <c:pt idx="7">
                  <c:v>22.402117499999999</c:v>
                </c:pt>
                <c:pt idx="8">
                  <c:v>22.483227100000001</c:v>
                </c:pt>
                <c:pt idx="9">
                  <c:v>22.553221099999998</c:v>
                </c:pt>
                <c:pt idx="10">
                  <c:v>22.6163718</c:v>
                </c:pt>
                <c:pt idx="11">
                  <c:v>22.674507800000001</c:v>
                </c:pt>
                <c:pt idx="12">
                  <c:v>22.7283312</c:v>
                </c:pt>
                <c:pt idx="13">
                  <c:v>22.778476000000001</c:v>
                </c:pt>
                <c:pt idx="14">
                  <c:v>22.825598299999999</c:v>
                </c:pt>
                <c:pt idx="15">
                  <c:v>22.870116199999998</c:v>
                </c:pt>
                <c:pt idx="16">
                  <c:v>22.912169299999999</c:v>
                </c:pt>
                <c:pt idx="17">
                  <c:v>22.951792999999999</c:v>
                </c:pt>
                <c:pt idx="18">
                  <c:v>22.9890492</c:v>
                </c:pt>
                <c:pt idx="19">
                  <c:v>23.0241124</c:v>
                </c:pt>
                <c:pt idx="20">
                  <c:v>23.0572968</c:v>
                </c:pt>
                <c:pt idx="21">
                  <c:v>23.088894199999999</c:v>
                </c:pt>
                <c:pt idx="22">
                  <c:v>23.1190958</c:v>
                </c:pt>
                <c:pt idx="23">
                  <c:v>23.148019300000001</c:v>
                </c:pt>
                <c:pt idx="24">
                  <c:v>23.1757147</c:v>
                </c:pt>
                <c:pt idx="25">
                  <c:v>23.202219599999999</c:v>
                </c:pt>
                <c:pt idx="26">
                  <c:v>23.227603899999998</c:v>
                </c:pt>
                <c:pt idx="27">
                  <c:v>23.251974100000002</c:v>
                </c:pt>
                <c:pt idx="28">
                  <c:v>23.275450599999999</c:v>
                </c:pt>
                <c:pt idx="29">
                  <c:v>23.298128599999998</c:v>
                </c:pt>
                <c:pt idx="30">
                  <c:v>23.320057200000001</c:v>
                </c:pt>
                <c:pt idx="31">
                  <c:v>23.341258799999999</c:v>
                </c:pt>
                <c:pt idx="32">
                  <c:v>23.361749100000001</c:v>
                </c:pt>
                <c:pt idx="33">
                  <c:v>23.381551000000002</c:v>
                </c:pt>
                <c:pt idx="34">
                  <c:v>23.400720700000001</c:v>
                </c:pt>
                <c:pt idx="35">
                  <c:v>23.419364300000002</c:v>
                </c:pt>
                <c:pt idx="36">
                  <c:v>23.437594000000001</c:v>
                </c:pt>
                <c:pt idx="37">
                  <c:v>23.455462199999999</c:v>
                </c:pt>
                <c:pt idx="38">
                  <c:v>23.472992399999999</c:v>
                </c:pt>
                <c:pt idx="39">
                  <c:v>23.4902534</c:v>
                </c:pt>
                <c:pt idx="40">
                  <c:v>23.5073826</c:v>
                </c:pt>
                <c:pt idx="41">
                  <c:v>23.524576499999998</c:v>
                </c:pt>
                <c:pt idx="42">
                  <c:v>23.542059800000001</c:v>
                </c:pt>
                <c:pt idx="43">
                  <c:v>23.560047099999998</c:v>
                </c:pt>
                <c:pt idx="44">
                  <c:v>23.578707699999999</c:v>
                </c:pt>
                <c:pt idx="45">
                  <c:v>23.598141099999999</c:v>
                </c:pt>
                <c:pt idx="46">
                  <c:v>23.618377599999999</c:v>
                </c:pt>
                <c:pt idx="47">
                  <c:v>23.639394100000001</c:v>
                </c:pt>
                <c:pt idx="48">
                  <c:v>23.661124399999999</c:v>
                </c:pt>
                <c:pt idx="49">
                  <c:v>23.6834706</c:v>
                </c:pt>
                <c:pt idx="50">
                  <c:v>23.7063223</c:v>
                </c:pt>
                <c:pt idx="51">
                  <c:v>23.7295835</c:v>
                </c:pt>
                <c:pt idx="52">
                  <c:v>23.7531991</c:v>
                </c:pt>
                <c:pt idx="53">
                  <c:v>23.7771705</c:v>
                </c:pt>
                <c:pt idx="54">
                  <c:v>23.801553299999998</c:v>
                </c:pt>
                <c:pt idx="55">
                  <c:v>23.8264326</c:v>
                </c:pt>
                <c:pt idx="56">
                  <c:v>23.8518872</c:v>
                </c:pt>
                <c:pt idx="57">
                  <c:v>23.8779571</c:v>
                </c:pt>
                <c:pt idx="58">
                  <c:v>23.9046254</c:v>
                </c:pt>
                <c:pt idx="59">
                  <c:v>23.931822700000001</c:v>
                </c:pt>
                <c:pt idx="60">
                  <c:v>23.9594469</c:v>
                </c:pt>
                <c:pt idx="61">
                  <c:v>23.987383900000001</c:v>
                </c:pt>
                <c:pt idx="62">
                  <c:v>24.015519699999999</c:v>
                </c:pt>
                <c:pt idx="63">
                  <c:v>24.043747799999998</c:v>
                </c:pt>
                <c:pt idx="64">
                  <c:v>24.0719727</c:v>
                </c:pt>
                <c:pt idx="65">
                  <c:v>24.100111399999999</c:v>
                </c:pt>
                <c:pt idx="66">
                  <c:v>24.128093799999998</c:v>
                </c:pt>
                <c:pt idx="67">
                  <c:v>24.155862899999999</c:v>
                </c:pt>
                <c:pt idx="68">
                  <c:v>24.1833721</c:v>
                </c:pt>
                <c:pt idx="69">
                  <c:v>24.210579899999999</c:v>
                </c:pt>
                <c:pt idx="70">
                  <c:v>24.237449099999999</c:v>
                </c:pt>
                <c:pt idx="71">
                  <c:v>24.263949199999999</c:v>
                </c:pt>
                <c:pt idx="72">
                  <c:v>24.290058500000001</c:v>
                </c:pt>
                <c:pt idx="73">
                  <c:v>24.3157639</c:v>
                </c:pt>
                <c:pt idx="74">
                  <c:v>24.3410595</c:v>
                </c:pt>
                <c:pt idx="75">
                  <c:v>24.365944800000001</c:v>
                </c:pt>
                <c:pt idx="76">
                  <c:v>24.390423599999998</c:v>
                </c:pt>
                <c:pt idx="77">
                  <c:v>24.414501999999999</c:v>
                </c:pt>
                <c:pt idx="78">
                  <c:v>24.438188400000001</c:v>
                </c:pt>
                <c:pt idx="79">
                  <c:v>24.461493399999998</c:v>
                </c:pt>
                <c:pt idx="80">
                  <c:v>24.484429800000001</c:v>
                </c:pt>
                <c:pt idx="81">
                  <c:v>24.507011200000001</c:v>
                </c:pt>
                <c:pt idx="82">
                  <c:v>24.529250399999999</c:v>
                </c:pt>
                <c:pt idx="83">
                  <c:v>24.551159200000001</c:v>
                </c:pt>
                <c:pt idx="84">
                  <c:v>24.572749699999999</c:v>
                </c:pt>
                <c:pt idx="85">
                  <c:v>24.594033799999998</c:v>
                </c:pt>
                <c:pt idx="86">
                  <c:v>24.615022199999999</c:v>
                </c:pt>
                <c:pt idx="87">
                  <c:v>24.635724700000001</c:v>
                </c:pt>
                <c:pt idx="88">
                  <c:v>24.656150799999999</c:v>
                </c:pt>
                <c:pt idx="89">
                  <c:v>24.6763099</c:v>
                </c:pt>
                <c:pt idx="90">
                  <c:v>24.696211099999999</c:v>
                </c:pt>
                <c:pt idx="91">
                  <c:v>24.715861</c:v>
                </c:pt>
                <c:pt idx="92">
                  <c:v>24.7352624</c:v>
                </c:pt>
                <c:pt idx="93">
                  <c:v>24.754418399999999</c:v>
                </c:pt>
                <c:pt idx="94">
                  <c:v>24.773334500000001</c:v>
                </c:pt>
                <c:pt idx="95">
                  <c:v>24.792017399999999</c:v>
                </c:pt>
                <c:pt idx="96">
                  <c:v>24.810473099999999</c:v>
                </c:pt>
                <c:pt idx="97">
                  <c:v>24.828706100000002</c:v>
                </c:pt>
                <c:pt idx="98">
                  <c:v>24.846721200000001</c:v>
                </c:pt>
                <c:pt idx="99">
                  <c:v>24.864523800000001</c:v>
                </c:pt>
                <c:pt idx="100">
                  <c:v>24.882118599999998</c:v>
                </c:pt>
                <c:pt idx="101">
                  <c:v>24.899508399999998</c:v>
                </c:pt>
                <c:pt idx="102">
                  <c:v>24.916696200000001</c:v>
                </c:pt>
                <c:pt idx="103">
                  <c:v>24.933686099999999</c:v>
                </c:pt>
                <c:pt idx="104">
                  <c:v>24.9504816</c:v>
                </c:pt>
                <c:pt idx="105">
                  <c:v>24.967084799999999</c:v>
                </c:pt>
                <c:pt idx="106">
                  <c:v>24.983497499999999</c:v>
                </c:pt>
                <c:pt idx="107">
                  <c:v>24.999721900000001</c:v>
                </c:pt>
                <c:pt idx="108">
                  <c:v>25.015761600000001</c:v>
                </c:pt>
                <c:pt idx="109">
                  <c:v>25.0316209</c:v>
                </c:pt>
                <c:pt idx="110">
                  <c:v>25.047302800000001</c:v>
                </c:pt>
                <c:pt idx="111">
                  <c:v>25.062808199999999</c:v>
                </c:pt>
                <c:pt idx="112">
                  <c:v>25.078136900000001</c:v>
                </c:pt>
                <c:pt idx="113">
                  <c:v>25.0932885</c:v>
                </c:pt>
                <c:pt idx="114">
                  <c:v>25.108262100000001</c:v>
                </c:pt>
                <c:pt idx="115">
                  <c:v>25.123056200000001</c:v>
                </c:pt>
                <c:pt idx="116">
                  <c:v>25.1376685</c:v>
                </c:pt>
                <c:pt idx="117">
                  <c:v>25.152096199999999</c:v>
                </c:pt>
                <c:pt idx="118">
                  <c:v>25.166335499999999</c:v>
                </c:pt>
                <c:pt idx="119">
                  <c:v>25.1803834</c:v>
                </c:pt>
                <c:pt idx="120">
                  <c:v>25.1942378</c:v>
                </c:pt>
                <c:pt idx="121">
                  <c:v>25.207896699999999</c:v>
                </c:pt>
                <c:pt idx="122">
                  <c:v>25.2213587</c:v>
                </c:pt>
                <c:pt idx="123">
                  <c:v>25.234621799999999</c:v>
                </c:pt>
                <c:pt idx="124">
                  <c:v>25.247684</c:v>
                </c:pt>
                <c:pt idx="125">
                  <c:v>25.260543599999998</c:v>
                </c:pt>
                <c:pt idx="126">
                  <c:v>25.273199000000002</c:v>
                </c:pt>
                <c:pt idx="127">
                  <c:v>25.285648599999998</c:v>
                </c:pt>
                <c:pt idx="128">
                  <c:v>25.297890800000001</c:v>
                </c:pt>
                <c:pt idx="129">
                  <c:v>25.309924200000001</c:v>
                </c:pt>
                <c:pt idx="130">
                  <c:v>25.3217474</c:v>
                </c:pt>
                <c:pt idx="131">
                  <c:v>25.333358799999999</c:v>
                </c:pt>
                <c:pt idx="132">
                  <c:v>25.3447572</c:v>
                </c:pt>
                <c:pt idx="133">
                  <c:v>25.3559412</c:v>
                </c:pt>
                <c:pt idx="134">
                  <c:v>25.3669093</c:v>
                </c:pt>
                <c:pt idx="135">
                  <c:v>25.377660299999999</c:v>
                </c:pt>
                <c:pt idx="136">
                  <c:v>25.388192799999999</c:v>
                </c:pt>
                <c:pt idx="137">
                  <c:v>25.398505499999999</c:v>
                </c:pt>
                <c:pt idx="138">
                  <c:v>25.408596899999999</c:v>
                </c:pt>
                <c:pt idx="139">
                  <c:v>25.418465600000001</c:v>
                </c:pt>
                <c:pt idx="140">
                  <c:v>25.428110499999999</c:v>
                </c:pt>
                <c:pt idx="141">
                  <c:v>25.4375298</c:v>
                </c:pt>
                <c:pt idx="142">
                  <c:v>25.446722000000001</c:v>
                </c:pt>
                <c:pt idx="143">
                  <c:v>25.455685500000001</c:v>
                </c:pt>
                <c:pt idx="144">
                  <c:v>25.464418599999998</c:v>
                </c:pt>
                <c:pt idx="145">
                  <c:v>25.472919600000001</c:v>
                </c:pt>
                <c:pt idx="146">
                  <c:v>25.481186900000001</c:v>
                </c:pt>
                <c:pt idx="147">
                  <c:v>25.4892185</c:v>
                </c:pt>
                <c:pt idx="148">
                  <c:v>25.4970125</c:v>
                </c:pt>
                <c:pt idx="149">
                  <c:v>25.504567000000002</c:v>
                </c:pt>
                <c:pt idx="150">
                  <c:v>25.511879799999999</c:v>
                </c:pt>
                <c:pt idx="151">
                  <c:v>25.518948999999999</c:v>
                </c:pt>
                <c:pt idx="152">
                  <c:v>25.525772400000001</c:v>
                </c:pt>
                <c:pt idx="153">
                  <c:v>25.532347600000001</c:v>
                </c:pt>
                <c:pt idx="154">
                  <c:v>25.538672099999999</c:v>
                </c:pt>
                <c:pt idx="155">
                  <c:v>25.544743400000002</c:v>
                </c:pt>
                <c:pt idx="156">
                  <c:v>25.5505587</c:v>
                </c:pt>
                <c:pt idx="157">
                  <c:v>25.556115399999999</c:v>
                </c:pt>
                <c:pt idx="158">
                  <c:v>25.561410500000001</c:v>
                </c:pt>
                <c:pt idx="159">
                  <c:v>25.5664403</c:v>
                </c:pt>
                <c:pt idx="160">
                  <c:v>25.571203300000001</c:v>
                </c:pt>
                <c:pt idx="161">
                  <c:v>25.575698299999999</c:v>
                </c:pt>
                <c:pt idx="162">
                  <c:v>25.5799205</c:v>
                </c:pt>
                <c:pt idx="163">
                  <c:v>25.583866</c:v>
                </c:pt>
                <c:pt idx="164">
                  <c:v>25.587538299999999</c:v>
                </c:pt>
                <c:pt idx="165">
                  <c:v>25.590931399999999</c:v>
                </c:pt>
                <c:pt idx="166">
                  <c:v>25.5940291</c:v>
                </c:pt>
                <c:pt idx="167">
                  <c:v>25.596819700000001</c:v>
                </c:pt>
                <c:pt idx="168">
                  <c:v>25.599290199999999</c:v>
                </c:pt>
                <c:pt idx="169">
                  <c:v>25.6014245</c:v>
                </c:pt>
                <c:pt idx="170">
                  <c:v>25.603206700000001</c:v>
                </c:pt>
                <c:pt idx="171">
                  <c:v>25.6046251</c:v>
                </c:pt>
                <c:pt idx="172">
                  <c:v>25.6056758</c:v>
                </c:pt>
                <c:pt idx="173">
                  <c:v>25.6063592</c:v>
                </c:pt>
                <c:pt idx="174">
                  <c:v>25.6066833</c:v>
                </c:pt>
                <c:pt idx="175">
                  <c:v>25.6066833</c:v>
                </c:pt>
                <c:pt idx="176">
                  <c:v>25.6066833</c:v>
                </c:pt>
                <c:pt idx="177">
                  <c:v>25.6066833</c:v>
                </c:pt>
                <c:pt idx="178">
                  <c:v>25.6066833</c:v>
                </c:pt>
                <c:pt idx="179">
                  <c:v>25.6066833</c:v>
                </c:pt>
                <c:pt idx="180">
                  <c:v>25.6066833</c:v>
                </c:pt>
                <c:pt idx="181">
                  <c:v>25.6066833</c:v>
                </c:pt>
                <c:pt idx="182">
                  <c:v>25.6066833</c:v>
                </c:pt>
                <c:pt idx="183">
                  <c:v>25.6066833</c:v>
                </c:pt>
                <c:pt idx="184">
                  <c:v>25.6066833</c:v>
                </c:pt>
                <c:pt idx="185">
                  <c:v>25.6066833</c:v>
                </c:pt>
                <c:pt idx="186">
                  <c:v>25.6066833</c:v>
                </c:pt>
                <c:pt idx="187">
                  <c:v>25.6066833</c:v>
                </c:pt>
                <c:pt idx="188">
                  <c:v>25.6066833</c:v>
                </c:pt>
                <c:pt idx="189">
                  <c:v>25.6066833</c:v>
                </c:pt>
                <c:pt idx="190">
                  <c:v>25.6066833</c:v>
                </c:pt>
                <c:pt idx="191">
                  <c:v>25.6066833</c:v>
                </c:pt>
                <c:pt idx="192">
                  <c:v>25.6066833</c:v>
                </c:pt>
                <c:pt idx="193">
                  <c:v>25.6066833</c:v>
                </c:pt>
                <c:pt idx="194">
                  <c:v>25.6066833</c:v>
                </c:pt>
                <c:pt idx="195">
                  <c:v>25.6066833</c:v>
                </c:pt>
                <c:pt idx="196">
                  <c:v>25.6066833</c:v>
                </c:pt>
                <c:pt idx="197">
                  <c:v>25.6066833</c:v>
                </c:pt>
                <c:pt idx="198">
                  <c:v>25.6066833</c:v>
                </c:pt>
                <c:pt idx="199">
                  <c:v>25.6066833</c:v>
                </c:pt>
                <c:pt idx="200">
                  <c:v>25.6066833</c:v>
                </c:pt>
                <c:pt idx="201">
                  <c:v>25.6066833</c:v>
                </c:pt>
                <c:pt idx="202">
                  <c:v>25.6066833</c:v>
                </c:pt>
                <c:pt idx="203">
                  <c:v>25.6066833</c:v>
                </c:pt>
                <c:pt idx="204">
                  <c:v>25.6066833</c:v>
                </c:pt>
                <c:pt idx="205">
                  <c:v>25.6066833</c:v>
                </c:pt>
                <c:pt idx="206">
                  <c:v>25.6066833</c:v>
                </c:pt>
                <c:pt idx="207">
                  <c:v>25.6066833</c:v>
                </c:pt>
                <c:pt idx="208">
                  <c:v>25.6066833</c:v>
                </c:pt>
                <c:pt idx="209">
                  <c:v>25.6066833</c:v>
                </c:pt>
                <c:pt idx="210">
                  <c:v>25.6066833</c:v>
                </c:pt>
                <c:pt idx="211">
                  <c:v>25.6066833</c:v>
                </c:pt>
                <c:pt idx="212">
                  <c:v>25.6066833</c:v>
                </c:pt>
                <c:pt idx="213">
                  <c:v>25.6066833</c:v>
                </c:pt>
                <c:pt idx="214">
                  <c:v>25.6066833</c:v>
                </c:pt>
                <c:pt idx="215">
                  <c:v>25.6066833</c:v>
                </c:pt>
                <c:pt idx="216">
                  <c:v>25.6066833</c:v>
                </c:pt>
                <c:pt idx="217">
                  <c:v>25.6066833</c:v>
                </c:pt>
                <c:pt idx="218">
                  <c:v>25.6066833</c:v>
                </c:pt>
                <c:pt idx="219">
                  <c:v>25.6066833</c:v>
                </c:pt>
                <c:pt idx="220">
                  <c:v>25.6066833</c:v>
                </c:pt>
                <c:pt idx="221">
                  <c:v>25.6066833</c:v>
                </c:pt>
                <c:pt idx="222">
                  <c:v>25.6066833</c:v>
                </c:pt>
                <c:pt idx="223">
                  <c:v>25.6066833</c:v>
                </c:pt>
                <c:pt idx="224">
                  <c:v>25.6066833</c:v>
                </c:pt>
                <c:pt idx="225">
                  <c:v>25.6066833</c:v>
                </c:pt>
                <c:pt idx="226">
                  <c:v>25.6066833</c:v>
                </c:pt>
                <c:pt idx="227">
                  <c:v>25.6066833</c:v>
                </c:pt>
                <c:pt idx="228">
                  <c:v>25.6066833</c:v>
                </c:pt>
                <c:pt idx="229">
                  <c:v>25.6066833</c:v>
                </c:pt>
                <c:pt idx="230">
                  <c:v>25.6066833</c:v>
                </c:pt>
                <c:pt idx="231">
                  <c:v>25.6066833</c:v>
                </c:pt>
                <c:pt idx="232">
                  <c:v>25.6066833</c:v>
                </c:pt>
                <c:pt idx="233">
                  <c:v>25.6066833</c:v>
                </c:pt>
                <c:pt idx="234">
                  <c:v>25.6066833</c:v>
                </c:pt>
                <c:pt idx="235">
                  <c:v>25.6066833</c:v>
                </c:pt>
                <c:pt idx="236">
                  <c:v>25.6066833</c:v>
                </c:pt>
                <c:pt idx="237">
                  <c:v>25.6066833</c:v>
                </c:pt>
                <c:pt idx="238">
                  <c:v>25.6066833</c:v>
                </c:pt>
                <c:pt idx="239">
                  <c:v>25.6066833</c:v>
                </c:pt>
                <c:pt idx="240">
                  <c:v>25.6066833</c:v>
                </c:pt>
                <c:pt idx="241">
                  <c:v>25.6066833</c:v>
                </c:pt>
                <c:pt idx="242">
                  <c:v>25.6066833</c:v>
                </c:pt>
                <c:pt idx="243">
                  <c:v>25.6066833</c:v>
                </c:pt>
                <c:pt idx="244">
                  <c:v>25.6066833</c:v>
                </c:pt>
                <c:pt idx="245">
                  <c:v>25.6066833</c:v>
                </c:pt>
                <c:pt idx="246">
                  <c:v>25.6066833</c:v>
                </c:pt>
                <c:pt idx="247">
                  <c:v>25.6066833</c:v>
                </c:pt>
                <c:pt idx="248">
                  <c:v>25.6066833</c:v>
                </c:pt>
                <c:pt idx="249">
                  <c:v>25.6066833</c:v>
                </c:pt>
                <c:pt idx="250">
                  <c:v>25.6066833</c:v>
                </c:pt>
                <c:pt idx="251">
                  <c:v>25.6066833</c:v>
                </c:pt>
                <c:pt idx="252">
                  <c:v>25.6066833</c:v>
                </c:pt>
                <c:pt idx="253">
                  <c:v>25.6066833</c:v>
                </c:pt>
                <c:pt idx="254">
                  <c:v>25.6066833</c:v>
                </c:pt>
                <c:pt idx="255">
                  <c:v>25.6066833</c:v>
                </c:pt>
                <c:pt idx="256">
                  <c:v>25.6066833</c:v>
                </c:pt>
                <c:pt idx="257">
                  <c:v>25.6066833</c:v>
                </c:pt>
                <c:pt idx="258">
                  <c:v>25.6066833</c:v>
                </c:pt>
                <c:pt idx="259">
                  <c:v>25.6066833</c:v>
                </c:pt>
                <c:pt idx="260">
                  <c:v>25.6066833</c:v>
                </c:pt>
                <c:pt idx="261">
                  <c:v>25.6066833</c:v>
                </c:pt>
                <c:pt idx="262">
                  <c:v>25.6066833</c:v>
                </c:pt>
                <c:pt idx="263">
                  <c:v>25.6066833</c:v>
                </c:pt>
                <c:pt idx="264">
                  <c:v>25.6066833</c:v>
                </c:pt>
                <c:pt idx="265">
                  <c:v>25.6066833</c:v>
                </c:pt>
                <c:pt idx="266">
                  <c:v>25.6066833</c:v>
                </c:pt>
                <c:pt idx="267">
                  <c:v>25.6066833</c:v>
                </c:pt>
                <c:pt idx="268">
                  <c:v>25.6066833</c:v>
                </c:pt>
                <c:pt idx="269">
                  <c:v>25.6066833</c:v>
                </c:pt>
                <c:pt idx="270">
                  <c:v>25.6066833</c:v>
                </c:pt>
                <c:pt idx="271">
                  <c:v>25.6066833</c:v>
                </c:pt>
                <c:pt idx="272">
                  <c:v>25.6066833</c:v>
                </c:pt>
                <c:pt idx="273">
                  <c:v>25.6066833</c:v>
                </c:pt>
                <c:pt idx="274">
                  <c:v>25.6066833</c:v>
                </c:pt>
                <c:pt idx="275">
                  <c:v>25.6066833</c:v>
                </c:pt>
                <c:pt idx="276">
                  <c:v>25.6066833</c:v>
                </c:pt>
                <c:pt idx="277">
                  <c:v>25.6066833</c:v>
                </c:pt>
                <c:pt idx="278">
                  <c:v>25.6066833</c:v>
                </c:pt>
                <c:pt idx="279">
                  <c:v>25.6066833</c:v>
                </c:pt>
                <c:pt idx="280">
                  <c:v>25.6066833</c:v>
                </c:pt>
                <c:pt idx="281">
                  <c:v>25.6066833</c:v>
                </c:pt>
                <c:pt idx="282">
                  <c:v>25.6066833</c:v>
                </c:pt>
                <c:pt idx="283">
                  <c:v>25.6066833</c:v>
                </c:pt>
                <c:pt idx="284">
                  <c:v>25.6066833</c:v>
                </c:pt>
                <c:pt idx="285">
                  <c:v>25.6066833</c:v>
                </c:pt>
                <c:pt idx="286">
                  <c:v>25.6066833</c:v>
                </c:pt>
                <c:pt idx="287">
                  <c:v>25.6066833</c:v>
                </c:pt>
                <c:pt idx="288">
                  <c:v>25.6066833</c:v>
                </c:pt>
                <c:pt idx="289">
                  <c:v>25.6066833</c:v>
                </c:pt>
                <c:pt idx="290">
                  <c:v>25.6066833</c:v>
                </c:pt>
                <c:pt idx="291">
                  <c:v>25.6066833</c:v>
                </c:pt>
                <c:pt idx="292">
                  <c:v>25.6066833</c:v>
                </c:pt>
                <c:pt idx="293">
                  <c:v>25.6066833</c:v>
                </c:pt>
                <c:pt idx="294">
                  <c:v>25.6066833</c:v>
                </c:pt>
                <c:pt idx="295">
                  <c:v>25.6066833</c:v>
                </c:pt>
                <c:pt idx="296">
                  <c:v>25.6066833</c:v>
                </c:pt>
                <c:pt idx="297">
                  <c:v>25.6066833</c:v>
                </c:pt>
                <c:pt idx="298">
                  <c:v>25.6066833</c:v>
                </c:pt>
                <c:pt idx="299">
                  <c:v>25.6066833</c:v>
                </c:pt>
                <c:pt idx="300">
                  <c:v>25.6066833</c:v>
                </c:pt>
                <c:pt idx="301">
                  <c:v>25.6066833</c:v>
                </c:pt>
                <c:pt idx="302">
                  <c:v>25.6066833</c:v>
                </c:pt>
                <c:pt idx="303">
                  <c:v>25.6066833</c:v>
                </c:pt>
                <c:pt idx="304">
                  <c:v>25.6066833</c:v>
                </c:pt>
                <c:pt idx="305">
                  <c:v>25.6066833</c:v>
                </c:pt>
                <c:pt idx="306">
                  <c:v>25.6066833</c:v>
                </c:pt>
                <c:pt idx="307">
                  <c:v>25.6066833</c:v>
                </c:pt>
                <c:pt idx="308">
                  <c:v>25.6066833</c:v>
                </c:pt>
                <c:pt idx="309">
                  <c:v>25.6066833</c:v>
                </c:pt>
                <c:pt idx="310">
                  <c:v>25.6066833</c:v>
                </c:pt>
                <c:pt idx="311">
                  <c:v>25.6066833</c:v>
                </c:pt>
                <c:pt idx="312">
                  <c:v>25.6066833</c:v>
                </c:pt>
                <c:pt idx="313">
                  <c:v>25.6066833</c:v>
                </c:pt>
                <c:pt idx="314">
                  <c:v>25.6066833</c:v>
                </c:pt>
                <c:pt idx="315">
                  <c:v>25.6066833</c:v>
                </c:pt>
                <c:pt idx="316">
                  <c:v>25.6066833</c:v>
                </c:pt>
                <c:pt idx="317">
                  <c:v>25.6066833</c:v>
                </c:pt>
                <c:pt idx="318">
                  <c:v>25.6066833</c:v>
                </c:pt>
                <c:pt idx="319">
                  <c:v>25.6066833</c:v>
                </c:pt>
                <c:pt idx="320">
                  <c:v>25.6066833</c:v>
                </c:pt>
                <c:pt idx="321">
                  <c:v>25.6066833</c:v>
                </c:pt>
                <c:pt idx="322">
                  <c:v>25.607797600000001</c:v>
                </c:pt>
                <c:pt idx="323">
                  <c:v>25.610886600000001</c:v>
                </c:pt>
                <c:pt idx="324">
                  <c:v>25.614047899999999</c:v>
                </c:pt>
                <c:pt idx="325">
                  <c:v>25.6172769</c:v>
                </c:pt>
                <c:pt idx="326">
                  <c:v>25.620569499999998</c:v>
                </c:pt>
                <c:pt idx="327">
                  <c:v>25.623921500000002</c:v>
                </c:pt>
                <c:pt idx="328">
                  <c:v>25.627328599999998</c:v>
                </c:pt>
                <c:pt idx="329">
                  <c:v>25.6307869</c:v>
                </c:pt>
                <c:pt idx="330">
                  <c:v>25.634292200000001</c:v>
                </c:pt>
                <c:pt idx="331">
                  <c:v>25.637840499999999</c:v>
                </c:pt>
                <c:pt idx="332">
                  <c:v>25.6414279</c:v>
                </c:pt>
                <c:pt idx="333">
                  <c:v>25.6450505</c:v>
                </c:pt>
                <c:pt idx="334">
                  <c:v>25.648704899999998</c:v>
                </c:pt>
                <c:pt idx="335">
                  <c:v>25.652387600000001</c:v>
                </c:pt>
                <c:pt idx="336">
                  <c:v>25.656094599999999</c:v>
                </c:pt>
                <c:pt idx="337">
                  <c:v>25.659822500000001</c:v>
                </c:pt>
                <c:pt idx="338">
                  <c:v>25.663568099999999</c:v>
                </c:pt>
                <c:pt idx="339">
                  <c:v>25.667328300000001</c:v>
                </c:pt>
                <c:pt idx="340">
                  <c:v>25.671099999999999</c:v>
                </c:pt>
                <c:pt idx="341">
                  <c:v>25.6748802</c:v>
                </c:pt>
                <c:pt idx="342">
                  <c:v>25.6786666</c:v>
                </c:pt>
                <c:pt idx="343">
                  <c:v>25.682456800000001</c:v>
                </c:pt>
                <c:pt idx="344">
                  <c:v>25.686245599999999</c:v>
                </c:pt>
                <c:pt idx="345">
                  <c:v>25.6900297</c:v>
                </c:pt>
                <c:pt idx="346">
                  <c:v>25.693810500000001</c:v>
                </c:pt>
                <c:pt idx="347">
                  <c:v>25.697593900000001</c:v>
                </c:pt>
                <c:pt idx="348">
                  <c:v>25.701388000000001</c:v>
                </c:pt>
                <c:pt idx="349">
                  <c:v>25.7052017</c:v>
                </c:pt>
                <c:pt idx="350">
                  <c:v>25.709042799999999</c:v>
                </c:pt>
                <c:pt idx="351">
                  <c:v>25.712916799999999</c:v>
                </c:pt>
                <c:pt idx="352">
                  <c:v>25.7168274</c:v>
                </c:pt>
                <c:pt idx="353">
                  <c:v>25.7207759</c:v>
                </c:pt>
                <c:pt idx="354">
                  <c:v>25.724762500000001</c:v>
                </c:pt>
                <c:pt idx="355">
                  <c:v>25.728786199999998</c:v>
                </c:pt>
                <c:pt idx="356">
                  <c:v>25.732845300000001</c:v>
                </c:pt>
                <c:pt idx="357">
                  <c:v>25.736937300000001</c:v>
                </c:pt>
                <c:pt idx="358">
                  <c:v>25.741059700000001</c:v>
                </c:pt>
                <c:pt idx="359">
                  <c:v>25.7452097</c:v>
                </c:pt>
                <c:pt idx="360">
                  <c:v>25.749384200000001</c:v>
                </c:pt>
                <c:pt idx="361">
                  <c:v>25.753579999999999</c:v>
                </c:pt>
                <c:pt idx="362">
                  <c:v>25.757795300000002</c:v>
                </c:pt>
                <c:pt idx="363">
                  <c:v>25.762026299999999</c:v>
                </c:pt>
                <c:pt idx="364">
                  <c:v>25.766269900000001</c:v>
                </c:pt>
                <c:pt idx="365">
                  <c:v>25.770525500000002</c:v>
                </c:pt>
                <c:pt idx="366">
                  <c:v>25.774788000000001</c:v>
                </c:pt>
                <c:pt idx="367">
                  <c:v>25.779051599999999</c:v>
                </c:pt>
                <c:pt idx="368">
                  <c:v>25.7833142</c:v>
                </c:pt>
                <c:pt idx="369">
                  <c:v>25.787573200000001</c:v>
                </c:pt>
                <c:pt idx="370">
                  <c:v>25.791824900000002</c:v>
                </c:pt>
                <c:pt idx="371">
                  <c:v>25.796066799999998</c:v>
                </c:pt>
                <c:pt idx="372">
                  <c:v>25.800297499999999</c:v>
                </c:pt>
                <c:pt idx="373">
                  <c:v>25.8045151</c:v>
                </c:pt>
                <c:pt idx="374">
                  <c:v>25.8087181</c:v>
                </c:pt>
                <c:pt idx="375">
                  <c:v>25.812904499999998</c:v>
                </c:pt>
                <c:pt idx="376">
                  <c:v>25.817073000000001</c:v>
                </c:pt>
                <c:pt idx="377">
                  <c:v>25.821221999999999</c:v>
                </c:pt>
                <c:pt idx="378">
                  <c:v>25.825350199999999</c:v>
                </c:pt>
                <c:pt idx="379">
                  <c:v>25.829456700000001</c:v>
                </c:pt>
                <c:pt idx="380">
                  <c:v>25.833541100000001</c:v>
                </c:pt>
                <c:pt idx="381">
                  <c:v>25.8376032</c:v>
                </c:pt>
                <c:pt idx="382">
                  <c:v>25.841643000000001</c:v>
                </c:pt>
                <c:pt idx="383">
                  <c:v>25.845660299999999</c:v>
                </c:pt>
                <c:pt idx="384">
                  <c:v>25.8496554</c:v>
                </c:pt>
                <c:pt idx="385">
                  <c:v>25.853628199999999</c:v>
                </c:pt>
                <c:pt idx="386">
                  <c:v>25.8575792</c:v>
                </c:pt>
                <c:pt idx="387">
                  <c:v>25.861507199999998</c:v>
                </c:pt>
                <c:pt idx="388">
                  <c:v>25.865417099999998</c:v>
                </c:pt>
                <c:pt idx="389">
                  <c:v>25.869305600000001</c:v>
                </c:pt>
                <c:pt idx="390">
                  <c:v>25.873208300000002</c:v>
                </c:pt>
                <c:pt idx="391">
                  <c:v>25.877079899999998</c:v>
                </c:pt>
                <c:pt idx="392">
                  <c:v>25.880997300000001</c:v>
                </c:pt>
                <c:pt idx="393">
                  <c:v>25.884920399999999</c:v>
                </c:pt>
                <c:pt idx="394">
                  <c:v>25.888722900000001</c:v>
                </c:pt>
                <c:pt idx="395">
                  <c:v>25.8928634</c:v>
                </c:pt>
                <c:pt idx="396">
                  <c:v>25.896531899999999</c:v>
                </c:pt>
                <c:pt idx="397">
                  <c:v>25.9012198</c:v>
                </c:pt>
                <c:pt idx="398">
                  <c:v>25.9012198</c:v>
                </c:pt>
                <c:pt idx="399">
                  <c:v>25.9021905</c:v>
                </c:pt>
                <c:pt idx="400">
                  <c:v>25.906815699999999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8-4381-90BE-E654091426B9}"/>
            </c:ext>
          </c:extLst>
        </c:ser>
        <c:ser>
          <c:idx val="1"/>
          <c:order val="1"/>
          <c:tx>
            <c:strRef>
              <c:f>'Req 1 comparison'!$C$1</c:f>
              <c:strCache>
                <c:ptCount val="1"/>
                <c:pt idx="0">
                  <c:v>Ts (Empirical)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'Req 1 comparison'!$A$2:$A$402</c:f>
              <c:numCache>
                <c:formatCode>0.00</c:formatCode>
                <c:ptCount val="4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4.1400000000000006</c:v>
                </c:pt>
                <c:pt idx="208">
                  <c:v>4.16</c:v>
                </c:pt>
                <c:pt idx="209">
                  <c:v>4.18</c:v>
                </c:pt>
                <c:pt idx="210">
                  <c:v>4.1999999999999993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4.2799999999999994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4.3599999999999994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4.4399999999999995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4.6400000000000006</c:v>
                </c:pt>
                <c:pt idx="233">
                  <c:v>4.66</c:v>
                </c:pt>
                <c:pt idx="234">
                  <c:v>4.68</c:v>
                </c:pt>
                <c:pt idx="235">
                  <c:v>4.6999999999999993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4.7799999999999994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4.8599999999999994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4.9399999999999995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5.1400000000000006</c:v>
                </c:pt>
                <c:pt idx="258">
                  <c:v>5.16</c:v>
                </c:pt>
                <c:pt idx="259">
                  <c:v>5.18</c:v>
                </c:pt>
                <c:pt idx="260">
                  <c:v>5.1999999999999993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5.2799999999999994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5.3599999999999994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5.4399999999999995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5.6400000000000006</c:v>
                </c:pt>
                <c:pt idx="283">
                  <c:v>5.66</c:v>
                </c:pt>
                <c:pt idx="284">
                  <c:v>5.68</c:v>
                </c:pt>
                <c:pt idx="285">
                  <c:v>5.6999999999999993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5.7799999999999994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5.8599999999999994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5.9399999999999995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6.0600000000000005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6.3599999999999994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6.4399999999999995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6.5600000000000005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6.8599999999999994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6.9399999999999995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7.4399999999999995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</c:numCache>
            </c:numRef>
          </c:xVal>
          <c:yVal>
            <c:numRef>
              <c:f>'Req 1 comparison'!$C$2:$C$402</c:f>
              <c:numCache>
                <c:formatCode>General</c:formatCode>
                <c:ptCount val="401"/>
                <c:pt idx="0">
                  <c:v>21.136070730296638</c:v>
                </c:pt>
                <c:pt idx="1">
                  <c:v>21.3728884556254</c:v>
                </c:pt>
                <c:pt idx="2">
                  <c:v>21.635683279199895</c:v>
                </c:pt>
                <c:pt idx="3">
                  <c:v>21.802676601807093</c:v>
                </c:pt>
                <c:pt idx="4">
                  <c:v>21.927701184806949</c:v>
                </c:pt>
                <c:pt idx="5">
                  <c:v>22.028689929317181</c:v>
                </c:pt>
                <c:pt idx="6">
                  <c:v>22.113953517260427</c:v>
                </c:pt>
                <c:pt idx="7">
                  <c:v>22.188061430554058</c:v>
                </c:pt>
                <c:pt idx="8">
                  <c:v>22.253809866414485</c:v>
                </c:pt>
                <c:pt idx="9">
                  <c:v>22.313041117797695</c:v>
                </c:pt>
                <c:pt idx="10">
                  <c:v>22.367036713737718</c:v>
                </c:pt>
                <c:pt idx="11">
                  <c:v>22.416726029411507</c:v>
                </c:pt>
                <c:pt idx="12">
                  <c:v>22.462805678088728</c:v>
                </c:pt>
                <c:pt idx="13">
                  <c:v>22.505812002769574</c:v>
                </c:pt>
                <c:pt idx="14">
                  <c:v>22.546167235418693</c:v>
                </c:pt>
                <c:pt idx="15">
                  <c:v>22.584210062571344</c:v>
                </c:pt>
                <c:pt idx="16">
                  <c:v>22.620216540457363</c:v>
                </c:pt>
                <c:pt idx="17">
                  <c:v>22.654414811863205</c:v>
                </c:pt>
                <c:pt idx="18">
                  <c:v>22.686995713770102</c:v>
                </c:pt>
                <c:pt idx="19">
                  <c:v>22.718120585022461</c:v>
                </c:pt>
                <c:pt idx="20">
                  <c:v>22.747927119900112</c:v>
                </c:pt>
                <c:pt idx="21">
                  <c:v>22.776533828846198</c:v>
                </c:pt>
                <c:pt idx="22">
                  <c:v>22.804043487617264</c:v>
                </c:pt>
                <c:pt idx="23">
                  <c:v>22.830545839339038</c:v>
                </c:pt>
                <c:pt idx="24">
                  <c:v>22.856119736416986</c:v>
                </c:pt>
                <c:pt idx="25">
                  <c:v>22.880834856700517</c:v>
                </c:pt>
                <c:pt idx="26">
                  <c:v>22.904753092014573</c:v>
                </c:pt>
                <c:pt idx="27">
                  <c:v>22.927929681691182</c:v>
                </c:pt>
                <c:pt idx="28">
                  <c:v>22.950414145559705</c:v>
                </c:pt>
                <c:pt idx="29">
                  <c:v>22.972251057710992</c:v>
                </c:pt>
                <c:pt idx="30">
                  <c:v>22.993480692719515</c:v>
                </c:pt>
                <c:pt idx="31">
                  <c:v>23.014139568863925</c:v>
                </c:pt>
                <c:pt idx="32">
                  <c:v>23.034260907531859</c:v>
                </c:pt>
                <c:pt idx="33">
                  <c:v>23.053875023937735</c:v>
                </c:pt>
                <c:pt idx="34">
                  <c:v>23.07300966117873</c:v>
                </c:pt>
                <c:pt idx="35">
                  <c:v>23.091690277259374</c:v>
                </c:pt>
                <c:pt idx="36">
                  <c:v>23.109940292852798</c:v>
                </c:pt>
                <c:pt idx="37">
                  <c:v>23.127781306102975</c:v>
                </c:pt>
                <c:pt idx="38">
                  <c:v>23.145233279620754</c:v>
                </c:pt>
                <c:pt idx="39">
                  <c:v>23.162314703904372</c:v>
                </c:pt>
                <c:pt idx="40">
                  <c:v>23.179042740682632</c:v>
                </c:pt>
                <c:pt idx="41">
                  <c:v>23.195433349084226</c:v>
                </c:pt>
                <c:pt idx="42">
                  <c:v>23.21150139705793</c:v>
                </c:pt>
                <c:pt idx="43">
                  <c:v>23.227260760074728</c:v>
                </c:pt>
                <c:pt idx="44">
                  <c:v>23.242724408826007</c:v>
                </c:pt>
                <c:pt idx="45">
                  <c:v>23.257904487363703</c:v>
                </c:pt>
                <c:pt idx="46">
                  <c:v>23.272812382913628</c:v>
                </c:pt>
                <c:pt idx="47">
                  <c:v>23.287458788409538</c:v>
                </c:pt>
                <c:pt idx="48">
                  <c:v>23.301853758645336</c:v>
                </c:pt>
                <c:pt idx="49">
                  <c:v>23.316006760815071</c:v>
                </c:pt>
                <c:pt idx="50">
                  <c:v>23.329926720104709</c:v>
                </c:pt>
                <c:pt idx="51">
                  <c:v>23.343622060908785</c:v>
                </c:pt>
                <c:pt idx="52">
                  <c:v>23.357100744168747</c:v>
                </c:pt>
                <c:pt idx="53">
                  <c:v>23.37037030126578</c:v>
                </c:pt>
                <c:pt idx="54">
                  <c:v>23.383437864844382</c:v>
                </c:pt>
                <c:pt idx="55">
                  <c:v>23.396310196895911</c:v>
                </c:pt>
                <c:pt idx="56">
                  <c:v>23.408993714391784</c:v>
                </c:pt>
                <c:pt idx="57">
                  <c:v>23.421494512718823</c:v>
                </c:pt>
                <c:pt idx="58">
                  <c:v>23.433818387140775</c:v>
                </c:pt>
                <c:pt idx="59">
                  <c:v>23.445970852483811</c:v>
                </c:pt>
                <c:pt idx="60">
                  <c:v>23.45795716121961</c:v>
                </c:pt>
                <c:pt idx="61">
                  <c:v>23.469782320101331</c:v>
                </c:pt>
                <c:pt idx="62">
                  <c:v>23.481451105490009</c:v>
                </c:pt>
                <c:pt idx="63">
                  <c:v>23.492968077494254</c:v>
                </c:pt>
                <c:pt idx="64">
                  <c:v>23.504337593031437</c:v>
                </c:pt>
                <c:pt idx="65">
                  <c:v>23.515563817909253</c:v>
                </c:pt>
                <c:pt idx="66">
                  <c:v>23.526650738014155</c:v>
                </c:pt>
                <c:pt idx="67">
                  <c:v>23.537602169686124</c:v>
                </c:pt>
                <c:pt idx="68">
                  <c:v>23.54842176934909</c:v>
                </c:pt>
                <c:pt idx="69">
                  <c:v>23.55911304246132</c:v>
                </c:pt>
                <c:pt idx="70">
                  <c:v>23.569679351842638</c:v>
                </c:pt>
                <c:pt idx="71">
                  <c:v>23.5801239254302</c:v>
                </c:pt>
                <c:pt idx="72">
                  <c:v>23.590449863509662</c:v>
                </c:pt>
                <c:pt idx="73">
                  <c:v>23.60066014546311</c:v>
                </c:pt>
                <c:pt idx="74">
                  <c:v>23.61075763607414</c:v>
                </c:pt>
                <c:pt idx="75">
                  <c:v>23.620745091422179</c:v>
                </c:pt>
                <c:pt idx="76">
                  <c:v>23.630625164400385</c:v>
                </c:pt>
                <c:pt idx="77">
                  <c:v>23.640400409883796</c:v>
                </c:pt>
                <c:pt idx="78">
                  <c:v>23.650073289575516</c:v>
                </c:pt>
                <c:pt idx="79">
                  <c:v>23.659646176554133</c:v>
                </c:pt>
                <c:pt idx="80">
                  <c:v>23.669121359544761</c:v>
                </c:pt>
                <c:pt idx="81">
                  <c:v>23.678501046932922</c:v>
                </c:pt>
                <c:pt idx="82">
                  <c:v>23.687787370541173</c:v>
                </c:pt>
                <c:pt idx="83">
                  <c:v>23.696982389183574</c:v>
                </c:pt>
                <c:pt idx="84">
                  <c:v>23.706088092015079</c:v>
                </c:pt>
                <c:pt idx="85">
                  <c:v>23.715106401688558</c:v>
                </c:pt>
                <c:pt idx="86">
                  <c:v>23.724039177333964</c:v>
                </c:pt>
                <c:pt idx="87">
                  <c:v>23.732888217370601</c:v>
                </c:pt>
                <c:pt idx="88">
                  <c:v>23.741655262164272</c:v>
                </c:pt>
                <c:pt idx="89">
                  <c:v>23.750341996538964</c:v>
                </c:pt>
                <c:pt idx="90">
                  <c:v>23.758950052153523</c:v>
                </c:pt>
                <c:pt idx="91">
                  <c:v>23.767481009750497</c:v>
                </c:pt>
                <c:pt idx="92">
                  <c:v>23.775936401287197</c:v>
                </c:pt>
                <c:pt idx="93">
                  <c:v>23.784317711954486</c:v>
                </c:pt>
                <c:pt idx="94">
                  <c:v>23.79262638209201</c:v>
                </c:pt>
                <c:pt idx="95">
                  <c:v>23.800863809004795</c:v>
                </c:pt>
                <c:pt idx="96">
                  <c:v>23.80903134868862</c:v>
                </c:pt>
                <c:pt idx="97">
                  <c:v>23.817130317468411</c:v>
                </c:pt>
                <c:pt idx="98">
                  <c:v>23.825161993555639</c:v>
                </c:pt>
                <c:pt idx="99">
                  <c:v>23.833127618529545</c:v>
                </c:pt>
                <c:pt idx="100">
                  <c:v>23.841028398746175</c:v>
                </c:pt>
                <c:pt idx="101">
                  <c:v>23.848865506679658</c:v>
                </c:pt>
                <c:pt idx="102">
                  <c:v>23.856640082199874</c:v>
                </c:pt>
                <c:pt idx="103">
                  <c:v>23.8643532337897</c:v>
                </c:pt>
                <c:pt idx="104">
                  <c:v>23.872006039705525</c:v>
                </c:pt>
                <c:pt idx="105">
                  <c:v>23.879599549084105</c:v>
                </c:pt>
                <c:pt idx="106">
                  <c:v>23.887134782998714</c:v>
                </c:pt>
                <c:pt idx="107">
                  <c:v>23.894612735467547</c:v>
                </c:pt>
                <c:pt idx="108">
                  <c:v>23.902034374416473</c:v>
                </c:pt>
                <c:pt idx="109">
                  <c:v>23.909400642599337</c:v>
                </c:pt>
                <c:pt idx="110">
                  <c:v>23.916712458477434</c:v>
                </c:pt>
                <c:pt idx="111">
                  <c:v>23.923970717060399</c:v>
                </c:pt>
                <c:pt idx="112">
                  <c:v>23.931176290711221</c:v>
                </c:pt>
                <c:pt idx="113">
                  <c:v>23.93833002991596</c:v>
                </c:pt>
                <c:pt idx="114">
                  <c:v>23.945432764021348</c:v>
                </c:pt>
                <c:pt idx="115">
                  <c:v>23.952485301940897</c:v>
                </c:pt>
                <c:pt idx="116">
                  <c:v>23.95948843283179</c:v>
                </c:pt>
                <c:pt idx="117">
                  <c:v>23.966442926743241</c:v>
                </c:pt>
                <c:pt idx="118">
                  <c:v>23.973349535238754</c:v>
                </c:pt>
                <c:pt idx="119">
                  <c:v>23.980208991992811</c:v>
                </c:pt>
                <c:pt idx="120">
                  <c:v>23.98702201336323</c:v>
                </c:pt>
                <c:pt idx="121">
                  <c:v>23.993789298940783</c:v>
                </c:pt>
                <c:pt idx="122">
                  <c:v>24.000511532077326</c:v>
                </c:pt>
                <c:pt idx="123">
                  <c:v>24.007189380392333</c:v>
                </c:pt>
                <c:pt idx="124">
                  <c:v>24.013823496260159</c:v>
                </c:pt>
                <c:pt idx="125">
                  <c:v>24.020414517278653</c:v>
                </c:pt>
                <c:pt idx="126">
                  <c:v>24.026963066718793</c:v>
                </c:pt>
                <c:pt idx="127">
                  <c:v>24.0334697539584</c:v>
                </c:pt>
                <c:pt idx="128">
                  <c:v>24.039935174898233</c:v>
                </c:pt>
                <c:pt idx="129">
                  <c:v>24.046359912363528</c:v>
                </c:pt>
                <c:pt idx="130">
                  <c:v>24.052744536489627</c:v>
                </c:pt>
                <c:pt idx="131">
                  <c:v>24.059089605094073</c:v>
                </c:pt>
                <c:pt idx="132">
                  <c:v>24.065395664034554</c:v>
                </c:pt>
                <c:pt idx="133">
                  <c:v>24.071663247554284</c:v>
                </c:pt>
                <c:pt idx="134">
                  <c:v>24.077892878614136</c:v>
                </c:pt>
                <c:pt idx="135">
                  <c:v>24.08408506921387</c:v>
                </c:pt>
                <c:pt idx="136">
                  <c:v>24.090240320701071</c:v>
                </c:pt>
                <c:pt idx="137">
                  <c:v>24.096359124069522</c:v>
                </c:pt>
                <c:pt idx="138">
                  <c:v>24.102441960247063</c:v>
                </c:pt>
                <c:pt idx="139">
                  <c:v>24.108489300373492</c:v>
                </c:pt>
                <c:pt idx="140">
                  <c:v>24.114501606068814</c:v>
                </c:pt>
                <c:pt idx="141">
                  <c:v>24.120479329692046</c:v>
                </c:pt>
                <c:pt idx="142">
                  <c:v>24.126422914591444</c:v>
                </c:pt>
                <c:pt idx="143">
                  <c:v>24.132332795346429</c:v>
                </c:pt>
                <c:pt idx="144">
                  <c:v>24.138209398000868</c:v>
                </c:pt>
                <c:pt idx="145">
                  <c:v>24.144053140288975</c:v>
                </c:pt>
                <c:pt idx="146">
                  <c:v>24.149864431853587</c:v>
                </c:pt>
                <c:pt idx="147">
                  <c:v>24.155643674457224</c:v>
                </c:pt>
                <c:pt idx="148">
                  <c:v>24.161391262186385</c:v>
                </c:pt>
                <c:pt idx="149">
                  <c:v>24.167107581648906</c:v>
                </c:pt>
                <c:pt idx="150">
                  <c:v>24.172793012165243</c:v>
                </c:pt>
                <c:pt idx="151">
                  <c:v>24.178447925953549</c:v>
                </c:pt>
                <c:pt idx="152">
                  <c:v>24.184072688308902</c:v>
                </c:pt>
                <c:pt idx="153">
                  <c:v>24.189667657776511</c:v>
                </c:pt>
                <c:pt idx="154">
                  <c:v>24.195233186320024</c:v>
                </c:pt>
                <c:pt idx="155">
                  <c:v>24.20076961948422</c:v>
                </c:pt>
                <c:pt idx="156">
                  <c:v>24.206277296552685</c:v>
                </c:pt>
                <c:pt idx="157">
                  <c:v>24.211756550700841</c:v>
                </c:pt>
                <c:pt idx="158">
                  <c:v>24.217207709143906</c:v>
                </c:pt>
                <c:pt idx="159">
                  <c:v>24.222631093280825</c:v>
                </c:pt>
                <c:pt idx="160">
                  <c:v>24.228027018833473</c:v>
                </c:pt>
                <c:pt idx="161">
                  <c:v>24.233395795981721</c:v>
                </c:pt>
                <c:pt idx="162">
                  <c:v>24.238737729494744</c:v>
                </c:pt>
                <c:pt idx="163">
                  <c:v>24.244053118858176</c:v>
                </c:pt>
                <c:pt idx="164">
                  <c:v>24.249342258397348</c:v>
                </c:pt>
                <c:pt idx="165">
                  <c:v>24.254605437397458</c:v>
                </c:pt>
                <c:pt idx="166">
                  <c:v>24.259842940219812</c:v>
                </c:pt>
                <c:pt idx="167">
                  <c:v>24.265055046414716</c:v>
                </c:pt>
                <c:pt idx="168">
                  <c:v>24.270242030831298</c:v>
                </c:pt>
                <c:pt idx="169">
                  <c:v>24.27540416372409</c:v>
                </c:pt>
                <c:pt idx="170">
                  <c:v>24.280541710856426</c:v>
                </c:pt>
                <c:pt idx="171">
                  <c:v>24.285654933601336</c:v>
                </c:pt>
                <c:pt idx="172">
                  <c:v>24.290744089039151</c:v>
                </c:pt>
                <c:pt idx="173">
                  <c:v>24.2958094300526</c:v>
                </c:pt>
                <c:pt idx="174">
                  <c:v>24.300851205419292</c:v>
                </c:pt>
                <c:pt idx="175">
                  <c:v>24.305869659901475</c:v>
                </c:pt>
                <c:pt idx="176">
                  <c:v>24.31086503433346</c:v>
                </c:pt>
                <c:pt idx="177">
                  <c:v>24.315837565706772</c:v>
                </c:pt>
                <c:pt idx="178">
                  <c:v>24.320787487252574</c:v>
                </c:pt>
                <c:pt idx="179">
                  <c:v>24.325715028522382</c:v>
                </c:pt>
                <c:pt idx="180">
                  <c:v>24.330620415466171</c:v>
                </c:pt>
                <c:pt idx="181">
                  <c:v>24.33550387050883</c:v>
                </c:pt>
                <c:pt idx="182">
                  <c:v>24.340365612623998</c:v>
                </c:pt>
                <c:pt idx="183">
                  <c:v>24.345205857406597</c:v>
                </c:pt>
                <c:pt idx="184">
                  <c:v>24.350024817143094</c:v>
                </c:pt>
                <c:pt idx="185">
                  <c:v>24.354822700879765</c:v>
                </c:pt>
                <c:pt idx="186">
                  <c:v>24.359599714489775</c:v>
                </c:pt>
                <c:pt idx="187">
                  <c:v>24.364356060737748</c:v>
                </c:pt>
                <c:pt idx="188">
                  <c:v>24.369091939343434</c:v>
                </c:pt>
                <c:pt idx="189">
                  <c:v>24.37380754704327</c:v>
                </c:pt>
                <c:pt idx="190">
                  <c:v>24.37850307765035</c:v>
                </c:pt>
                <c:pt idx="191">
                  <c:v>24.383178722113314</c:v>
                </c:pt>
                <c:pt idx="192">
                  <c:v>24.387834668573248</c:v>
                </c:pt>
                <c:pt idx="193">
                  <c:v>24.392471102419393</c:v>
                </c:pt>
                <c:pt idx="194">
                  <c:v>24.397088206343653</c:v>
                </c:pt>
                <c:pt idx="195">
                  <c:v>24.401686160393297</c:v>
                </c:pt>
                <c:pt idx="196">
                  <c:v>24.406265142022789</c:v>
                </c:pt>
                <c:pt idx="197">
                  <c:v>24.410825326144106</c:v>
                </c:pt>
                <c:pt idx="198">
                  <c:v>24.415366885175786</c:v>
                </c:pt>
                <c:pt idx="199">
                  <c:v>24.419889989091246</c:v>
                </c:pt>
                <c:pt idx="200">
                  <c:v>24.424394805465113</c:v>
                </c:pt>
                <c:pt idx="201">
                  <c:v>24.428881499519264</c:v>
                </c:pt>
                <c:pt idx="202">
                  <c:v>24.433350234167222</c:v>
                </c:pt>
                <c:pt idx="203">
                  <c:v>24.43780117005781</c:v>
                </c:pt>
                <c:pt idx="204">
                  <c:v>24.442234465617503</c:v>
                </c:pt>
                <c:pt idx="205">
                  <c:v>24.446650277092033</c:v>
                </c:pt>
                <c:pt idx="206">
                  <c:v>24.451048758586865</c:v>
                </c:pt>
                <c:pt idx="207">
                  <c:v>24.4554300621067</c:v>
                </c:pt>
                <c:pt idx="208">
                  <c:v>24.459794337594246</c:v>
                </c:pt>
                <c:pt idx="209">
                  <c:v>24.46414173296796</c:v>
                </c:pt>
                <c:pt idx="210">
                  <c:v>24.46847239415888</c:v>
                </c:pt>
                <c:pt idx="211">
                  <c:v>24.472786465146726</c:v>
                </c:pt>
                <c:pt idx="212">
                  <c:v>24.477084087994911</c:v>
                </c:pt>
                <c:pt idx="213">
                  <c:v>24.481365402885388</c:v>
                </c:pt>
                <c:pt idx="214">
                  <c:v>24.48563054815196</c:v>
                </c:pt>
                <c:pt idx="215">
                  <c:v>24.489879660313193</c:v>
                </c:pt>
                <c:pt idx="216">
                  <c:v>24.494112874104701</c:v>
                </c:pt>
                <c:pt idx="217">
                  <c:v>24.49833032251064</c:v>
                </c:pt>
                <c:pt idx="218">
                  <c:v>24.502532136794173</c:v>
                </c:pt>
                <c:pt idx="219">
                  <c:v>24.506718446527771</c:v>
                </c:pt>
                <c:pt idx="220">
                  <c:v>24.51088937962254</c:v>
                </c:pt>
                <c:pt idx="221">
                  <c:v>24.51504506235699</c:v>
                </c:pt>
                <c:pt idx="222">
                  <c:v>24.519185619405221</c:v>
                </c:pt>
                <c:pt idx="223">
                  <c:v>24.523311173864386</c:v>
                </c:pt>
                <c:pt idx="224">
                  <c:v>24.52742184728146</c:v>
                </c:pt>
                <c:pt idx="225">
                  <c:v>24.531517759680128</c:v>
                </c:pt>
                <c:pt idx="226">
                  <c:v>24.535599029585853</c:v>
                </c:pt>
                <c:pt idx="227">
                  <c:v>24.539665774051741</c:v>
                </c:pt>
                <c:pt idx="228">
                  <c:v>24.543718108682867</c:v>
                </c:pt>
                <c:pt idx="229">
                  <c:v>24.547756147660664</c:v>
                </c:pt>
                <c:pt idx="230">
                  <c:v>24.551780003766453</c:v>
                </c:pt>
                <c:pt idx="231">
                  <c:v>24.555789788404752</c:v>
                </c:pt>
                <c:pt idx="232">
                  <c:v>24.559785611625898</c:v>
                </c:pt>
                <c:pt idx="233">
                  <c:v>24.56376758214833</c:v>
                </c:pt>
                <c:pt idx="234">
                  <c:v>24.567735807380302</c:v>
                </c:pt>
                <c:pt idx="235">
                  <c:v>24.571690393441315</c:v>
                </c:pt>
                <c:pt idx="236">
                  <c:v>24.575631445182808</c:v>
                </c:pt>
                <c:pt idx="237">
                  <c:v>24.579559066208787</c:v>
                </c:pt>
                <c:pt idx="238">
                  <c:v>24.583473358895958</c:v>
                </c:pt>
                <c:pt idx="239">
                  <c:v>24.587374424412985</c:v>
                </c:pt>
                <c:pt idx="240">
                  <c:v>24.591262362740224</c:v>
                </c:pt>
                <c:pt idx="241">
                  <c:v>24.595137272688191</c:v>
                </c:pt>
                <c:pt idx="242">
                  <c:v>24.598999251916325</c:v>
                </c:pt>
                <c:pt idx="243">
                  <c:v>24.602848396950947</c:v>
                </c:pt>
                <c:pt idx="244">
                  <c:v>24.606684803202938</c:v>
                </c:pt>
                <c:pt idx="245">
                  <c:v>24.610508564985366</c:v>
                </c:pt>
                <c:pt idx="246">
                  <c:v>24.614319775530589</c:v>
                </c:pt>
                <c:pt idx="247">
                  <c:v>24.618118527006573</c:v>
                </c:pt>
                <c:pt idx="248">
                  <c:v>24.621904910533772</c:v>
                </c:pt>
                <c:pt idx="249">
                  <c:v>24.625679016200991</c:v>
                </c:pt>
                <c:pt idx="250">
                  <c:v>24.629440933081128</c:v>
                </c:pt>
                <c:pt idx="251">
                  <c:v>24.633190749246808</c:v>
                </c:pt>
                <c:pt idx="252">
                  <c:v>24.636928551785445</c:v>
                </c:pt>
                <c:pt idx="253">
                  <c:v>24.640654426814081</c:v>
                </c:pt>
                <c:pt idx="254">
                  <c:v>24.644368459494274</c:v>
                </c:pt>
                <c:pt idx="255">
                  <c:v>24.648070734045916</c:v>
                </c:pt>
                <c:pt idx="256">
                  <c:v>24.651761333761954</c:v>
                </c:pt>
                <c:pt idx="257">
                  <c:v>24.65544034102146</c:v>
                </c:pt>
                <c:pt idx="258">
                  <c:v>24.659107837303907</c:v>
                </c:pt>
                <c:pt idx="259">
                  <c:v>24.662763903201778</c:v>
                </c:pt>
                <c:pt idx="260">
                  <c:v>24.666408618434048</c:v>
                </c:pt>
                <c:pt idx="261">
                  <c:v>24.670042061858908</c:v>
                </c:pt>
                <c:pt idx="262">
                  <c:v>24.673664311486164</c:v>
                </c:pt>
                <c:pt idx="263">
                  <c:v>24.67727544448968</c:v>
                </c:pt>
                <c:pt idx="264">
                  <c:v>24.680875537219492</c:v>
                </c:pt>
                <c:pt idx="265">
                  <c:v>24.684464665213682</c:v>
                </c:pt>
                <c:pt idx="266">
                  <c:v>24.688042903209976</c:v>
                </c:pt>
                <c:pt idx="267">
                  <c:v>24.691610325157285</c:v>
                </c:pt>
                <c:pt idx="268">
                  <c:v>24.695167004227017</c:v>
                </c:pt>
                <c:pt idx="269">
                  <c:v>24.69871301282393</c:v>
                </c:pt>
                <c:pt idx="270">
                  <c:v>24.702248422597108</c:v>
                </c:pt>
                <c:pt idx="271">
                  <c:v>24.705773304450702</c:v>
                </c:pt>
                <c:pt idx="272">
                  <c:v>24.709287728554216</c:v>
                </c:pt>
                <c:pt idx="273">
                  <c:v>24.712791764352914</c:v>
                </c:pt>
                <c:pt idx="274">
                  <c:v>24.716285480577881</c:v>
                </c:pt>
                <c:pt idx="275">
                  <c:v>24.719768945255964</c:v>
                </c:pt>
                <c:pt idx="276">
                  <c:v>24.723242225719503</c:v>
                </c:pt>
                <c:pt idx="277">
                  <c:v>24.726705388615983</c:v>
                </c:pt>
                <c:pt idx="278">
                  <c:v>24.730158499917309</c:v>
                </c:pt>
                <c:pt idx="279">
                  <c:v>24.733601624929292</c:v>
                </c:pt>
                <c:pt idx="280">
                  <c:v>24.737034828300466</c:v>
                </c:pt>
                <c:pt idx="281">
                  <c:v>24.740458174031176</c:v>
                </c:pt>
                <c:pt idx="282">
                  <c:v>24.74387172548245</c:v>
                </c:pt>
                <c:pt idx="283">
                  <c:v>24.747275545384355</c:v>
                </c:pt>
                <c:pt idx="284">
                  <c:v>24.750669695844863</c:v>
                </c:pt>
                <c:pt idx="285">
                  <c:v>24.75405423835781</c:v>
                </c:pt>
                <c:pt idx="286">
                  <c:v>24.757429233811422</c:v>
                </c:pt>
                <c:pt idx="287">
                  <c:v>24.760794742496159</c:v>
                </c:pt>
                <c:pt idx="288">
                  <c:v>24.764150824112789</c:v>
                </c:pt>
                <c:pt idx="289">
                  <c:v>24.767497537780002</c:v>
                </c:pt>
                <c:pt idx="290">
                  <c:v>24.77083494204237</c:v>
                </c:pt>
                <c:pt idx="291">
                  <c:v>24.774163094877622</c:v>
                </c:pt>
                <c:pt idx="292">
                  <c:v>24.777482053704148</c:v>
                </c:pt>
                <c:pt idx="293">
                  <c:v>24.780791875388331</c:v>
                </c:pt>
                <c:pt idx="294">
                  <c:v>24.784092616251769</c:v>
                </c:pt>
                <c:pt idx="295">
                  <c:v>24.787384332078148</c:v>
                </c:pt>
                <c:pt idx="296">
                  <c:v>24.79066707812035</c:v>
                </c:pt>
                <c:pt idx="297">
                  <c:v>24.793940909107164</c:v>
                </c:pt>
                <c:pt idx="298">
                  <c:v>24.797205879250157</c:v>
                </c:pt>
                <c:pt idx="299">
                  <c:v>24.800462042250217</c:v>
                </c:pt>
                <c:pt idx="300">
                  <c:v>24.803709451303916</c:v>
                </c:pt>
                <c:pt idx="301">
                  <c:v>24.80694815911005</c:v>
                </c:pt>
                <c:pt idx="302">
                  <c:v>24.810178217876114</c:v>
                </c:pt>
                <c:pt idx="303">
                  <c:v>24.813399679323993</c:v>
                </c:pt>
                <c:pt idx="304">
                  <c:v>24.816612594696664</c:v>
                </c:pt>
                <c:pt idx="305">
                  <c:v>24.819817014763714</c:v>
                </c:pt>
                <c:pt idx="306">
                  <c:v>24.823012989827532</c:v>
                </c:pt>
                <c:pt idx="307">
                  <c:v>24.826200569728996</c:v>
                </c:pt>
                <c:pt idx="308">
                  <c:v>24.829379803853271</c:v>
                </c:pt>
                <c:pt idx="309">
                  <c:v>24.832550741135321</c:v>
                </c:pt>
                <c:pt idx="310">
                  <c:v>24.835713430065709</c:v>
                </c:pt>
                <c:pt idx="311">
                  <c:v>24.838867918695655</c:v>
                </c:pt>
                <c:pt idx="312">
                  <c:v>24.842014254642891</c:v>
                </c:pt>
                <c:pt idx="313">
                  <c:v>24.845152485096605</c:v>
                </c:pt>
                <c:pt idx="314">
                  <c:v>24.848282656822676</c:v>
                </c:pt>
                <c:pt idx="315">
                  <c:v>24.851404816169065</c:v>
                </c:pt>
                <c:pt idx="316">
                  <c:v>24.854519009070543</c:v>
                </c:pt>
                <c:pt idx="317">
                  <c:v>24.857625281053913</c:v>
                </c:pt>
                <c:pt idx="318">
                  <c:v>24.860723677242845</c:v>
                </c:pt>
                <c:pt idx="319">
                  <c:v>24.863814242362594</c:v>
                </c:pt>
                <c:pt idx="320">
                  <c:v>24.86689702074483</c:v>
                </c:pt>
                <c:pt idx="321">
                  <c:v>24.869972056332415</c:v>
                </c:pt>
                <c:pt idx="322">
                  <c:v>24.87303939268395</c:v>
                </c:pt>
                <c:pt idx="323">
                  <c:v>24.87609907297815</c:v>
                </c:pt>
                <c:pt idx="324">
                  <c:v>24.879151140018678</c:v>
                </c:pt>
                <c:pt idx="325">
                  <c:v>24.88219563623818</c:v>
                </c:pt>
                <c:pt idx="326">
                  <c:v>24.885232603702946</c:v>
                </c:pt>
                <c:pt idx="327">
                  <c:v>24.888262084116832</c:v>
                </c:pt>
                <c:pt idx="328">
                  <c:v>24.891284118825979</c:v>
                </c:pt>
                <c:pt idx="329">
                  <c:v>24.894298748822393</c:v>
                </c:pt>
                <c:pt idx="330">
                  <c:v>24.897306014748608</c:v>
                </c:pt>
                <c:pt idx="331">
                  <c:v>24.900305956901207</c:v>
                </c:pt>
                <c:pt idx="332">
                  <c:v>24.903298615235201</c:v>
                </c:pt>
                <c:pt idx="333">
                  <c:v>24.906284029367669</c:v>
                </c:pt>
                <c:pt idx="334">
                  <c:v>24.909262238581789</c:v>
                </c:pt>
                <c:pt idx="335">
                  <c:v>24.912233281830595</c:v>
                </c:pt>
                <c:pt idx="336">
                  <c:v>24.915197197740781</c:v>
                </c:pt>
                <c:pt idx="337">
                  <c:v>24.918154024616172</c:v>
                </c:pt>
                <c:pt idx="338">
                  <c:v>24.921103800441699</c:v>
                </c:pt>
                <c:pt idx="339">
                  <c:v>24.924046562886815</c:v>
                </c:pt>
                <c:pt idx="340">
                  <c:v>24.926982349309071</c:v>
                </c:pt>
                <c:pt idx="341">
                  <c:v>24.92991119675753</c:v>
                </c:pt>
                <c:pt idx="342">
                  <c:v>24.932833141976289</c:v>
                </c:pt>
                <c:pt idx="343">
                  <c:v>24.935748221407948</c:v>
                </c:pt>
                <c:pt idx="344">
                  <c:v>24.938656471196794</c:v>
                </c:pt>
                <c:pt idx="345">
                  <c:v>24.941557927192264</c:v>
                </c:pt>
                <c:pt idx="346">
                  <c:v>24.944452624952078</c:v>
                </c:pt>
                <c:pt idx="347">
                  <c:v>24.947340599745417</c:v>
                </c:pt>
                <c:pt idx="348">
                  <c:v>24.950221886556278</c:v>
                </c:pt>
                <c:pt idx="349">
                  <c:v>24.95309652008649</c:v>
                </c:pt>
                <c:pt idx="350">
                  <c:v>24.955964534758607</c:v>
                </c:pt>
                <c:pt idx="351">
                  <c:v>24.958825964719381</c:v>
                </c:pt>
                <c:pt idx="352">
                  <c:v>24.961680843842259</c:v>
                </c:pt>
                <c:pt idx="353">
                  <c:v>24.964529205730742</c:v>
                </c:pt>
                <c:pt idx="354">
                  <c:v>24.967371083721105</c:v>
                </c:pt>
                <c:pt idx="355">
                  <c:v>24.970206510885134</c:v>
                </c:pt>
                <c:pt idx="356">
                  <c:v>24.973035520033363</c:v>
                </c:pt>
                <c:pt idx="357">
                  <c:v>24.97585814371746</c:v>
                </c:pt>
                <c:pt idx="358">
                  <c:v>24.97867441423324</c:v>
                </c:pt>
                <c:pt idx="359">
                  <c:v>24.981484363623281</c:v>
                </c:pt>
                <c:pt idx="360">
                  <c:v>24.984288023679653</c:v>
                </c:pt>
                <c:pt idx="361">
                  <c:v>24.987085425946532</c:v>
                </c:pt>
                <c:pt idx="362">
                  <c:v>24.989876601722813</c:v>
                </c:pt>
                <c:pt idx="363">
                  <c:v>24.992661582064784</c:v>
                </c:pt>
                <c:pt idx="364">
                  <c:v>24.995440397788514</c:v>
                </c:pt>
                <c:pt idx="365">
                  <c:v>24.998213079472464</c:v>
                </c:pt>
                <c:pt idx="366">
                  <c:v>25.000979657459936</c:v>
                </c:pt>
                <c:pt idx="367">
                  <c:v>25.003740161861685</c:v>
                </c:pt>
                <c:pt idx="368">
                  <c:v>25.006494622557909</c:v>
                </c:pt>
                <c:pt idx="369">
                  <c:v>25.009243069201148</c:v>
                </c:pt>
                <c:pt idx="370">
                  <c:v>25.011985531218272</c:v>
                </c:pt>
                <c:pt idx="371">
                  <c:v>25.01472203781293</c:v>
                </c:pt>
                <c:pt idx="372">
                  <c:v>25.01745261796782</c:v>
                </c:pt>
                <c:pt idx="373">
                  <c:v>25.020177300447074</c:v>
                </c:pt>
                <c:pt idx="374">
                  <c:v>25.022896113798197</c:v>
                </c:pt>
                <c:pt idx="375">
                  <c:v>25.025609086354621</c:v>
                </c:pt>
                <c:pt idx="376">
                  <c:v>25.02831624623758</c:v>
                </c:pt>
                <c:pt idx="377">
                  <c:v>25.031017621358558</c:v>
                </c:pt>
                <c:pt idx="378">
                  <c:v>25.033713239421047</c:v>
                </c:pt>
                <c:pt idx="379">
                  <c:v>25.036403127922938</c:v>
                </c:pt>
                <c:pt idx="380">
                  <c:v>25.039087314158451</c:v>
                </c:pt>
                <c:pt idx="381">
                  <c:v>25.041765825220239</c:v>
                </c:pt>
                <c:pt idx="382">
                  <c:v>25.044438688001435</c:v>
                </c:pt>
                <c:pt idx="383">
                  <c:v>25.047105929197357</c:v>
                </c:pt>
                <c:pt idx="384">
                  <c:v>25.049767575307953</c:v>
                </c:pt>
                <c:pt idx="385">
                  <c:v>25.052423652639334</c:v>
                </c:pt>
                <c:pt idx="386">
                  <c:v>25.05507418730582</c:v>
                </c:pt>
                <c:pt idx="387">
                  <c:v>25.05771920523199</c:v>
                </c:pt>
                <c:pt idx="388">
                  <c:v>25.060358732154214</c:v>
                </c:pt>
                <c:pt idx="389">
                  <c:v>25.062992793622868</c:v>
                </c:pt>
                <c:pt idx="390">
                  <c:v>25.065621415003875</c:v>
                </c:pt>
                <c:pt idx="391">
                  <c:v>25.068244621480687</c:v>
                </c:pt>
                <c:pt idx="392">
                  <c:v>25.070862438055826</c:v>
                </c:pt>
                <c:pt idx="393">
                  <c:v>25.07347488955304</c:v>
                </c:pt>
                <c:pt idx="394">
                  <c:v>25.076082000618669</c:v>
                </c:pt>
                <c:pt idx="395">
                  <c:v>25.078683795723407</c:v>
                </c:pt>
                <c:pt idx="396">
                  <c:v>25.081280299164234</c:v>
                </c:pt>
                <c:pt idx="397">
                  <c:v>25.083871535065782</c:v>
                </c:pt>
                <c:pt idx="398">
                  <c:v>25.086457527382265</c:v>
                </c:pt>
                <c:pt idx="399">
                  <c:v>25.089038299898903</c:v>
                </c:pt>
                <c:pt idx="400">
                  <c:v>25.091613876233623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F8-4381-90BE-E65409142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31088"/>
        <c:axId val="135610448"/>
      </c:scatterChart>
      <c:valAx>
        <c:axId val="13563108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(x)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0448"/>
        <c:crosses val="autoZero"/>
        <c:crossBetween val="midCat"/>
      </c:valAx>
      <c:valAx>
        <c:axId val="135610448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Surface</a:t>
                </a:r>
                <a:r>
                  <a:rPr lang="en-US" baseline="0"/>
                  <a:t> Temperature (Ts,local) </a:t>
                </a:r>
                <a:r>
                  <a:rPr lang="en-US" sz="1000" b="0" i="0" u="none" strike="noStrike" baseline="0"/>
                  <a:t>(°C)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4009746366245284E-2"/>
              <c:y val="0.13825589810638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1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Ts, avg and h,</a:t>
            </a:r>
            <a:r>
              <a:rPr lang="en-US" baseline="0"/>
              <a:t> avg Vs 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'Req 2 comparison'!$B$1</c:f>
              <c:strCache>
                <c:ptCount val="1"/>
                <c:pt idx="0">
                  <c:v>Ts, avg (°C) (Numerical)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'Req 2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2 comparison'!$B$2:$B$8</c:f>
              <c:numCache>
                <c:formatCode>General</c:formatCode>
                <c:ptCount val="7"/>
                <c:pt idx="0">
                  <c:v>34.768000000000001</c:v>
                </c:pt>
                <c:pt idx="1">
                  <c:v>28.359000000000002</c:v>
                </c:pt>
                <c:pt idx="2">
                  <c:v>26.103000000000002</c:v>
                </c:pt>
                <c:pt idx="3">
                  <c:v>24.876000000000001</c:v>
                </c:pt>
                <c:pt idx="4">
                  <c:v>24.103999999999999</c:v>
                </c:pt>
                <c:pt idx="5">
                  <c:v>23.547000000000001</c:v>
                </c:pt>
                <c:pt idx="6">
                  <c:v>23.123999999999999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0-4E35-8E78-22594637F992}"/>
            </c:ext>
          </c:extLst>
        </c:ser>
        <c:ser>
          <c:idx val="1"/>
          <c:order val="1"/>
          <c:tx>
            <c:strRef>
              <c:f>'Req 2 comparison'!$C$1</c:f>
              <c:strCache>
                <c:ptCount val="1"/>
                <c:pt idx="0">
                  <c:v>Ts, avg (°C) (Empirical)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'Req 2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2 comparison'!$C$2:$C$8</c:f>
              <c:numCache>
                <c:formatCode>General</c:formatCode>
                <c:ptCount val="7"/>
                <c:pt idx="0">
                  <c:v>35.49</c:v>
                </c:pt>
                <c:pt idx="1">
                  <c:v>28.83</c:v>
                </c:pt>
                <c:pt idx="2">
                  <c:v>26.34</c:v>
                </c:pt>
                <c:pt idx="3">
                  <c:v>25.01</c:v>
                </c:pt>
                <c:pt idx="4">
                  <c:v>24.16</c:v>
                </c:pt>
                <c:pt idx="5">
                  <c:v>23.58</c:v>
                </c:pt>
                <c:pt idx="6">
                  <c:v>23.15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0-4E35-8E78-22594637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8032"/>
        <c:axId val="173886032"/>
      </c:scatterChart>
      <c:scatterChart>
        <c:scatterStyle val="smoothMarker"/>
        <c:varyColors val="0"/>
        <c:ser>
          <c:idx val="2"/>
          <c:order val="2"/>
          <c:tx>
            <c:strRef>
              <c:f>'Req 2 comparison'!$F$1</c:f>
              <c:strCache>
                <c:ptCount val="1"/>
                <c:pt idx="0">
                  <c:v>h, avg (W/m²·K) (Numerical)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'Req 2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2 comparison'!$F$2:$F$8</c:f>
              <c:numCache>
                <c:formatCode>0.000</c:formatCode>
                <c:ptCount val="7"/>
                <c:pt idx="0">
                  <c:v>14.456</c:v>
                </c:pt>
                <c:pt idx="1">
                  <c:v>25.244</c:v>
                </c:pt>
                <c:pt idx="2">
                  <c:v>34.482999999999997</c:v>
                </c:pt>
                <c:pt idx="3">
                  <c:v>43.034999999999997</c:v>
                </c:pt>
                <c:pt idx="4">
                  <c:v>51.106000000000002</c:v>
                </c:pt>
                <c:pt idx="5">
                  <c:v>59.115000000000002</c:v>
                </c:pt>
                <c:pt idx="6">
                  <c:v>67.082999999999998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20-4E35-8E78-22594637F992}"/>
            </c:ext>
          </c:extLst>
        </c:ser>
        <c:ser>
          <c:idx val="3"/>
          <c:order val="3"/>
          <c:tx>
            <c:strRef>
              <c:f>'Req 2 comparison'!$G$1</c:f>
              <c:strCache>
                <c:ptCount val="1"/>
                <c:pt idx="0">
                  <c:v>h, avg (W/m²·K) (Empirical)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'Req 2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2 comparison'!$G$2:$G$8</c:f>
              <c:numCache>
                <c:formatCode>General</c:formatCode>
                <c:ptCount val="7"/>
                <c:pt idx="0">
                  <c:v>12.79</c:v>
                </c:pt>
                <c:pt idx="1">
                  <c:v>22.27</c:v>
                </c:pt>
                <c:pt idx="2">
                  <c:v>30.8</c:v>
                </c:pt>
                <c:pt idx="3">
                  <c:v>38.770000000000003</c:v>
                </c:pt>
                <c:pt idx="4">
                  <c:v>46.35</c:v>
                </c:pt>
                <c:pt idx="5">
                  <c:v>53.63</c:v>
                </c:pt>
                <c:pt idx="6">
                  <c:v>60.67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20-4E35-8E78-22594637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0352"/>
        <c:axId val="173889872"/>
      </c:scatterChart>
      <c:valAx>
        <c:axId val="173898032"/>
        <c:scaling>
          <c:orientation val="minMax"/>
          <c:max val="1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6032"/>
        <c:crosses val="autoZero"/>
        <c:crossBetween val="midCat"/>
      </c:valAx>
      <c:valAx>
        <c:axId val="1738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Surface Average Temperature (°C)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8032"/>
        <c:crosses val="autoZero"/>
        <c:crossBetween val="midCat"/>
      </c:valAx>
      <c:valAx>
        <c:axId val="173889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</a:t>
                </a:r>
                <a:r>
                  <a:rPr lang="en-US" sz="1000" b="0" i="0" u="none" strike="noStrike" baseline="0">
                    <a:effectLst/>
                  </a:rPr>
                  <a:t>verall Convection Coefficient (W/m²·K)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352"/>
        <c:crosses val="max"/>
        <c:crossBetween val="midCat"/>
      </c:valAx>
      <c:valAx>
        <c:axId val="17389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88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 and Cd, avg Vs.</a:t>
            </a:r>
            <a:r>
              <a:rPr lang="en-US" baseline="0"/>
              <a:t> 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'Req 3 Comparison'!$B$1</c:f>
              <c:strCache>
                <c:ptCount val="1"/>
                <c:pt idx="0">
                  <c:v>Fd (N) (Numerical)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'Req 3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3 Comparison'!$B$2:$B$8</c:f>
              <c:numCache>
                <c:formatCode>0.0000</c:formatCode>
                <c:ptCount val="7"/>
                <c:pt idx="0">
                  <c:v>1.2501</c:v>
                </c:pt>
                <c:pt idx="1">
                  <c:v>4.3365</c:v>
                </c:pt>
                <c:pt idx="2">
                  <c:v>8.8742999999999999</c:v>
                </c:pt>
                <c:pt idx="3">
                  <c:v>14.867000000000001</c:v>
                </c:pt>
                <c:pt idx="4">
                  <c:v>22.318000000000001</c:v>
                </c:pt>
                <c:pt idx="5">
                  <c:v>31.204999999999998</c:v>
                </c:pt>
                <c:pt idx="6">
                  <c:v>41.497999999999998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B3-44B2-9BBB-B1AB123E14A7}"/>
            </c:ext>
          </c:extLst>
        </c:ser>
        <c:ser>
          <c:idx val="1"/>
          <c:order val="1"/>
          <c:tx>
            <c:strRef>
              <c:f>'Req 3 Comparison'!$C$1</c:f>
              <c:strCache>
                <c:ptCount val="1"/>
                <c:pt idx="0">
                  <c:v>Fd (N) (Empirical)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'Req 3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3 Comparison'!$C$2:$C$8</c:f>
              <c:numCache>
                <c:formatCode>General</c:formatCode>
                <c:ptCount val="7"/>
                <c:pt idx="0">
                  <c:v>1.3740000000000001</c:v>
                </c:pt>
                <c:pt idx="1">
                  <c:v>4.7850000000000001</c:v>
                </c:pt>
                <c:pt idx="2">
                  <c:v>9.9269999999999996</c:v>
                </c:pt>
                <c:pt idx="3">
                  <c:v>16.66</c:v>
                </c:pt>
                <c:pt idx="4">
                  <c:v>24.9</c:v>
                </c:pt>
                <c:pt idx="5">
                  <c:v>34.57</c:v>
                </c:pt>
                <c:pt idx="6">
                  <c:v>45.62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B3-44B2-9BBB-B1AB123E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70672"/>
        <c:axId val="173853392"/>
      </c:scatterChart>
      <c:scatterChart>
        <c:scatterStyle val="smoothMarker"/>
        <c:varyColors val="0"/>
        <c:ser>
          <c:idx val="2"/>
          <c:order val="2"/>
          <c:tx>
            <c:strRef>
              <c:f>'Req 3 Comparison'!$F$1</c:f>
              <c:strCache>
                <c:ptCount val="1"/>
                <c:pt idx="0">
                  <c:v>Cd, avg (Numerical)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'Req 3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3 Comparison'!$F$2:$F$8</c:f>
              <c:numCache>
                <c:formatCode>General</c:formatCode>
                <c:ptCount val="7"/>
                <c:pt idx="0" formatCode="0.0000000">
                  <c:v>3.3062999999999999E-3</c:v>
                </c:pt>
                <c:pt idx="1">
                  <c:v>2.8674E-3</c:v>
                </c:pt>
                <c:pt idx="2">
                  <c:v>2.6078999999999998E-3</c:v>
                </c:pt>
                <c:pt idx="3">
                  <c:v>2.4575E-3</c:v>
                </c:pt>
                <c:pt idx="4">
                  <c:v>2.3611999999999999E-3</c:v>
                </c:pt>
                <c:pt idx="5">
                  <c:v>2.2926000000000001E-3</c:v>
                </c:pt>
                <c:pt idx="6">
                  <c:v>2.2399999999999998E-3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B3-44B2-9BBB-B1AB123E14A7}"/>
            </c:ext>
          </c:extLst>
        </c:ser>
        <c:ser>
          <c:idx val="3"/>
          <c:order val="3"/>
          <c:tx>
            <c:strRef>
              <c:f>'Req 3 Comparison'!$G$1</c:f>
              <c:strCache>
                <c:ptCount val="1"/>
                <c:pt idx="0">
                  <c:v>Cd, avg (Empirical)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'Req 3 Comparison'!$A$2:$A$8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</c:numCache>
            </c:numRef>
          </c:xVal>
          <c:yVal>
            <c:numRef>
              <c:f>'Req 3 Comparison'!$G$2:$G$8</c:f>
              <c:numCache>
                <c:formatCode>General</c:formatCode>
                <c:ptCount val="7"/>
                <c:pt idx="0">
                  <c:v>3.803E-3</c:v>
                </c:pt>
                <c:pt idx="1">
                  <c:v>3.31E-3</c:v>
                </c:pt>
                <c:pt idx="2">
                  <c:v>3.052E-3</c:v>
                </c:pt>
                <c:pt idx="3">
                  <c:v>2.882E-3</c:v>
                </c:pt>
                <c:pt idx="4">
                  <c:v>2.7560000000000002E-3</c:v>
                </c:pt>
                <c:pt idx="5">
                  <c:v>2.6570000000000001E-3</c:v>
                </c:pt>
                <c:pt idx="6">
                  <c:v>2.5769999999999999E-3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B3-44B2-9BBB-B1AB123E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54832"/>
        <c:axId val="173874992"/>
      </c:scatterChart>
      <c:valAx>
        <c:axId val="173870672"/>
        <c:scaling>
          <c:orientation val="minMax"/>
          <c:max val="1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3392"/>
        <c:crosses val="autoZero"/>
        <c:crossBetween val="midCat"/>
      </c:valAx>
      <c:valAx>
        <c:axId val="1738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Friction 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0672"/>
        <c:crosses val="autoZero"/>
        <c:crossBetween val="midCat"/>
      </c:valAx>
      <c:valAx>
        <c:axId val="173874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Overall Skin Friction Coefficient (Cd, avg)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4832"/>
        <c:crosses val="max"/>
        <c:crossBetween val="midCat"/>
      </c:valAx>
      <c:valAx>
        <c:axId val="173854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87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366</xdr:row>
      <xdr:rowOff>138112</xdr:rowOff>
    </xdr:from>
    <xdr:to>
      <xdr:col>21</xdr:col>
      <xdr:colOff>161925</xdr:colOff>
      <xdr:row>388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296BD2-D2E6-CE38-1BB2-81F75F17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18</xdr:col>
      <xdr:colOff>6985</xdr:colOff>
      <xdr:row>30</xdr:row>
      <xdr:rowOff>172720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BD3427-BA6C-1F00-963C-3641A1623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0" t="3800" r="8826" b="4760"/>
        <a:stretch>
          <a:fillRect/>
        </a:stretch>
      </xdr:blipFill>
      <xdr:spPr bwMode="auto">
        <a:xfrm>
          <a:off x="6524625" y="2200275"/>
          <a:ext cx="7150735" cy="39731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9525</xdr:rowOff>
    </xdr:from>
    <xdr:to>
      <xdr:col>2</xdr:col>
      <xdr:colOff>1200150</xdr:colOff>
      <xdr:row>28</xdr:row>
      <xdr:rowOff>127464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9C1DC-5F35-51FB-F185-0BEF0480B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0"/>
          <a:ext cx="5076825" cy="3356439"/>
        </a:xfrm>
        <a:prstGeom prst="rect">
          <a:avLst/>
        </a:prstGeom>
      </xdr:spPr>
    </xdr:pic>
    <xdr:clientData/>
  </xdr:twoCellAnchor>
  <xdr:twoCellAnchor editAs="oneCell">
    <xdr:from>
      <xdr:col>2</xdr:col>
      <xdr:colOff>1209675</xdr:colOff>
      <xdr:row>11</xdr:row>
      <xdr:rowOff>9525</xdr:rowOff>
    </xdr:from>
    <xdr:to>
      <xdr:col>4</xdr:col>
      <xdr:colOff>1866900</xdr:colOff>
      <xdr:row>27</xdr:row>
      <xdr:rowOff>189464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45F77-1F23-F211-F0A2-68E1787C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2190750"/>
          <a:ext cx="5076825" cy="3227939"/>
        </a:xfrm>
        <a:prstGeom prst="rect">
          <a:avLst/>
        </a:prstGeom>
      </xdr:spPr>
    </xdr:pic>
    <xdr:clientData/>
  </xdr:twoCellAnchor>
  <xdr:twoCellAnchor editAs="oneCell">
    <xdr:from>
      <xdr:col>4</xdr:col>
      <xdr:colOff>2219325</xdr:colOff>
      <xdr:row>8</xdr:row>
      <xdr:rowOff>76200</xdr:rowOff>
    </xdr:from>
    <xdr:to>
      <xdr:col>15</xdr:col>
      <xdr:colOff>123826</xdr:colOff>
      <xdr:row>26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CBBAD7-9BBF-3609-6D98-A8799ADBA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82" t="4681" r="6127" b="5143"/>
        <a:stretch>
          <a:fillRect/>
        </a:stretch>
      </xdr:blipFill>
      <xdr:spPr>
        <a:xfrm>
          <a:off x="10515600" y="1685925"/>
          <a:ext cx="6543676" cy="34861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2190750</xdr:colOff>
      <xdr:row>27</xdr:row>
      <xdr:rowOff>38100</xdr:rowOff>
    </xdr:from>
    <xdr:to>
      <xdr:col>15</xdr:col>
      <xdr:colOff>66675</xdr:colOff>
      <xdr:row>45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ED7549-7DCF-0DDA-8C23-43C7FC583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49" t="4189" r="6128" b="4897"/>
        <a:stretch>
          <a:fillRect/>
        </a:stretch>
      </xdr:blipFill>
      <xdr:spPr>
        <a:xfrm>
          <a:off x="10487025" y="5267325"/>
          <a:ext cx="6515100" cy="3514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390524</xdr:colOff>
      <xdr:row>11</xdr:row>
      <xdr:rowOff>100011</xdr:rowOff>
    </xdr:from>
    <xdr:to>
      <xdr:col>13</xdr:col>
      <xdr:colOff>428624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FA25B-FD08-C7A5-CCA8-1CCAC474C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9</xdr:row>
      <xdr:rowOff>157161</xdr:rowOff>
    </xdr:from>
    <xdr:to>
      <xdr:col>9</xdr:col>
      <xdr:colOff>419100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D93B2-251D-4B41-A7AF-B5C105E05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9</xdr:row>
      <xdr:rowOff>166687</xdr:rowOff>
    </xdr:from>
    <xdr:to>
      <xdr:col>12</xdr:col>
      <xdr:colOff>600075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D41E7-C0B4-72E7-43F3-65571BF93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66D3-9D45-416E-BC52-0CE5041CC70D}">
  <dimension ref="A1:Q402"/>
  <sheetViews>
    <sheetView workbookViewId="0">
      <selection activeCell="T8" sqref="T8"/>
    </sheetView>
  </sheetViews>
  <sheetFormatPr defaultRowHeight="15" x14ac:dyDescent="0.25"/>
  <cols>
    <col min="1" max="1" width="4.7109375" style="3" bestFit="1" customWidth="1"/>
    <col min="2" max="8" width="12" style="3" bestFit="1" customWidth="1"/>
    <col min="9" max="9" width="9.140625" style="3"/>
    <col min="10" max="10" width="5.5703125" style="3" bestFit="1" customWidth="1"/>
    <col min="11" max="14" width="12.7109375" style="3" bestFit="1" customWidth="1"/>
    <col min="15" max="17" width="13.85546875" style="3" bestFit="1" customWidth="1"/>
    <col min="18" max="16384" width="9.140625" style="3"/>
  </cols>
  <sheetData>
    <row r="1" spans="1:17" ht="15.75" thickBot="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J1" s="1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3" t="s">
        <v>12</v>
      </c>
    </row>
    <row r="2" spans="1:17" ht="15.75" thickBot="1" x14ac:dyDescent="0.3">
      <c r="A2" s="12">
        <v>0</v>
      </c>
      <c r="B2" s="8">
        <v>22.944734357463972</v>
      </c>
      <c r="C2" s="8">
        <v>21.847570087319752</v>
      </c>
      <c r="D2" s="8">
        <v>21.393344093694282</v>
      </c>
      <c r="E2" s="8">
        <v>21.136070730296638</v>
      </c>
      <c r="F2" s="8">
        <v>20.967678663165657</v>
      </c>
      <c r="G2" s="8">
        <v>20.847713794589026</v>
      </c>
      <c r="H2" s="8">
        <v>20.757323776087617</v>
      </c>
      <c r="J2" s="14">
        <v>0</v>
      </c>
      <c r="K2" s="11">
        <f>VLOOKUP(J2,$A$2:$B$402,2,FALSE)</f>
        <v>22.944734357463972</v>
      </c>
      <c r="L2" s="11">
        <f>VLOOKUP(J2,$A$2:$H$402,3,FALSE)</f>
        <v>21.847570087319752</v>
      </c>
      <c r="M2" s="11">
        <f>VLOOKUP(J2,$A$2:$H$402,4,FALSE)</f>
        <v>21.393344093694282</v>
      </c>
      <c r="N2" s="11">
        <f>VLOOKUP(J2,$A$2:$H$402,5,FALSE)</f>
        <v>21.136070730296638</v>
      </c>
      <c r="O2" s="11">
        <f>VLOOKUP(J2,$A$2:$H$402,6,FALSE)</f>
        <v>20.967678663165657</v>
      </c>
      <c r="P2" s="11">
        <f>VLOOKUP(J2,$A$2:$H$402,7,FALSE)</f>
        <v>20.847713794589026</v>
      </c>
      <c r="Q2" s="11">
        <f>VLOOKUP(J2,$A$2:$H$402,8,FALSE)</f>
        <v>20.757323776087617</v>
      </c>
    </row>
    <row r="3" spans="1:17" ht="15.75" thickBot="1" x14ac:dyDescent="0.3">
      <c r="A3" s="12">
        <v>0.02</v>
      </c>
      <c r="B3" s="8">
        <v>23.695140174639505</v>
      </c>
      <c r="C3" s="8">
        <v>22.272141460593218</v>
      </c>
      <c r="D3" s="8">
        <v>21.695427589178109</v>
      </c>
      <c r="E3" s="8">
        <v>21.3728884556254</v>
      </c>
      <c r="F3" s="8">
        <v>21.163627013718497</v>
      </c>
      <c r="G3" s="8">
        <v>21.015527903772579</v>
      </c>
      <c r="H3" s="8">
        <v>20.904519602782216</v>
      </c>
      <c r="J3" s="14">
        <v>1</v>
      </c>
      <c r="K3" s="11">
        <f t="shared" ref="K3:K10" si="0">VLOOKUP(J3,$A$3:$B$403,2,FALSE)</f>
        <v>29.938657433113974</v>
      </c>
      <c r="L3" s="11">
        <f t="shared" ref="L3:L10" si="1">VLOOKUP(J3,$A$3:$H$403,3,FALSE)</f>
        <v>25.761669713400977</v>
      </c>
      <c r="M3" s="11">
        <f t="shared" ref="M3:M10" si="2">VLOOKUP(J3,$A$3:$H$403,4,FALSE)</f>
        <v>24.182072979253121</v>
      </c>
      <c r="N3" s="11">
        <f t="shared" ref="N3:N10" si="3">VLOOKUP(J3,$A$3:$H$403,5,FALSE)</f>
        <v>23.329926720104709</v>
      </c>
      <c r="O3" s="11">
        <f t="shared" ref="O3:O10" si="4">VLOOKUP(J3,$A$3:$H$403,6,FALSE)</f>
        <v>22.789782632993365</v>
      </c>
      <c r="P3" s="11">
        <f t="shared" ref="P3:P10" si="5">VLOOKUP(J3,$A$3:$H$403,7,FALSE)</f>
        <v>22.413830060948158</v>
      </c>
      <c r="Q3" s="11">
        <f t="shared" ref="Q3:Q10" si="6">VLOOKUP(J3,$A$3:$H$403,8,FALSE)</f>
        <v>22.135589647198856</v>
      </c>
    </row>
    <row r="4" spans="1:17" ht="15.75" thickBot="1" x14ac:dyDescent="0.3">
      <c r="A4" s="12">
        <v>0.04</v>
      </c>
      <c r="B4" s="8">
        <v>24.544282921186436</v>
      </c>
      <c r="C4" s="8">
        <v>22.7457769112508</v>
      </c>
      <c r="D4" s="8">
        <v>22.031055807545101</v>
      </c>
      <c r="E4" s="8">
        <v>21.635683279199895</v>
      </c>
      <c r="F4" s="8">
        <v>21.381038721818356</v>
      </c>
      <c r="G4" s="8">
        <v>21.201784401204691</v>
      </c>
      <c r="H4" s="8">
        <v>21.067980063144944</v>
      </c>
      <c r="J4" s="14">
        <v>2</v>
      </c>
      <c r="K4" s="11">
        <f t="shared" si="0"/>
        <v>31.523339426802011</v>
      </c>
      <c r="L4" s="11">
        <f t="shared" si="1"/>
        <v>26.659853440209474</v>
      </c>
      <c r="M4" s="11">
        <f t="shared" si="2"/>
        <v>24.827660121896258</v>
      </c>
      <c r="N4" s="11">
        <f t="shared" si="3"/>
        <v>23.841028398746175</v>
      </c>
      <c r="O4" s="11">
        <f t="shared" si="4"/>
        <v>23.216331613822888</v>
      </c>
      <c r="P4" s="11">
        <f t="shared" si="5"/>
        <v>22.781862008110124</v>
      </c>
      <c r="Q4" s="11">
        <f t="shared" si="6"/>
        <v>22.460496948515129</v>
      </c>
    </row>
    <row r="5" spans="1:17" ht="15.75" thickBot="1" x14ac:dyDescent="0.3">
      <c r="A5" s="12">
        <v>0.06</v>
      </c>
      <c r="B5" s="8">
        <v>25.086282767534271</v>
      </c>
      <c r="C5" s="8">
        <v>23.04658371131768</v>
      </c>
      <c r="D5" s="8">
        <v>22.244171229916219</v>
      </c>
      <c r="E5" s="8">
        <v>21.802676601807093</v>
      </c>
      <c r="F5" s="8">
        <v>21.519326232380138</v>
      </c>
      <c r="G5" s="8">
        <v>21.32037042386213</v>
      </c>
      <c r="H5" s="8">
        <v>21.172148124930743</v>
      </c>
      <c r="J5" s="14">
        <v>3</v>
      </c>
      <c r="K5" s="11">
        <f t="shared" si="0"/>
        <v>32.546218937759363</v>
      </c>
      <c r="L5" s="11">
        <f t="shared" si="1"/>
        <v>27.241490182844416</v>
      </c>
      <c r="M5" s="11">
        <f t="shared" si="2"/>
        <v>25.246346116397547</v>
      </c>
      <c r="N5" s="11">
        <f t="shared" si="3"/>
        <v>24.172793012165243</v>
      </c>
      <c r="O5" s="11">
        <f t="shared" si="4"/>
        <v>23.493381236904497</v>
      </c>
      <c r="P5" s="11">
        <f t="shared" si="5"/>
        <v>23.021011839786752</v>
      </c>
      <c r="Q5" s="11">
        <f t="shared" si="6"/>
        <v>22.671697864442763</v>
      </c>
    </row>
    <row r="6" spans="1:17" ht="15.75" thickBot="1" x14ac:dyDescent="0.3">
      <c r="A6" s="12">
        <v>0.08</v>
      </c>
      <c r="B6" s="8">
        <v>25.491553822501601</v>
      </c>
      <c r="C6" s="8">
        <v>23.271366558399791</v>
      </c>
      <c r="D6" s="8">
        <v>22.403568802409438</v>
      </c>
      <c r="E6" s="8">
        <v>21.927701184806949</v>
      </c>
      <c r="F6" s="8">
        <v>21.6229519434537</v>
      </c>
      <c r="G6" s="8">
        <v>21.409302344840285</v>
      </c>
      <c r="H6" s="8">
        <v>21.250320817459453</v>
      </c>
      <c r="J6" s="14">
        <v>4</v>
      </c>
      <c r="K6" s="11">
        <f t="shared" si="0"/>
        <v>33.319706880418892</v>
      </c>
      <c r="L6" s="11">
        <f t="shared" si="1"/>
        <v>27.682056797492407</v>
      </c>
      <c r="M6" s="11">
        <f t="shared" si="2"/>
        <v>25.563724016220306</v>
      </c>
      <c r="N6" s="11">
        <f t="shared" si="3"/>
        <v>24.424394805465113</v>
      </c>
      <c r="O6" s="11">
        <f t="shared" si="4"/>
        <v>23.703552746464879</v>
      </c>
      <c r="P6" s="11">
        <f t="shared" si="5"/>
        <v>23.202472967535925</v>
      </c>
      <c r="Q6" s="11">
        <f t="shared" si="6"/>
        <v>22.831979734147808</v>
      </c>
    </row>
    <row r="7" spans="1:17" ht="15.75" thickBot="1" x14ac:dyDescent="0.3">
      <c r="A7" s="12">
        <v>0.1</v>
      </c>
      <c r="B7" s="8">
        <v>25.818135068592369</v>
      </c>
      <c r="C7" s="8">
        <v>23.452596804545919</v>
      </c>
      <c r="D7" s="8">
        <v>22.532210387300267</v>
      </c>
      <c r="E7" s="8">
        <v>22.028689929317181</v>
      </c>
      <c r="F7" s="8">
        <v>21.706716289870542</v>
      </c>
      <c r="G7" s="8">
        <v>21.481232628242651</v>
      </c>
      <c r="H7" s="8">
        <v>21.313581141305576</v>
      </c>
      <c r="J7" s="14">
        <v>5</v>
      </c>
      <c r="K7" s="11">
        <f t="shared" si="0"/>
        <v>33.948913164966882</v>
      </c>
      <c r="L7" s="11">
        <f t="shared" si="1"/>
        <v>28.040829034557248</v>
      </c>
      <c r="M7" s="11">
        <f t="shared" si="2"/>
        <v>25.822302061507514</v>
      </c>
      <c r="N7" s="11">
        <f t="shared" si="3"/>
        <v>24.629440933081128</v>
      </c>
      <c r="O7" s="11">
        <f t="shared" si="4"/>
        <v>23.874867504098972</v>
      </c>
      <c r="P7" s="11">
        <f t="shared" si="5"/>
        <v>23.350406057569728</v>
      </c>
      <c r="Q7" s="11">
        <f t="shared" si="6"/>
        <v>22.962660891858434</v>
      </c>
    </row>
    <row r="8" spans="1:17" ht="15.75" thickBot="1" x14ac:dyDescent="0.3">
      <c r="A8" s="12">
        <v>0.12</v>
      </c>
      <c r="B8" s="8">
        <v>26.093167422635361</v>
      </c>
      <c r="C8" s="8">
        <v>23.605353203614129</v>
      </c>
      <c r="D8" s="8">
        <v>22.640740847724203</v>
      </c>
      <c r="E8" s="8">
        <v>22.113953517260427</v>
      </c>
      <c r="F8" s="8">
        <v>21.777479153891136</v>
      </c>
      <c r="G8" s="8">
        <v>21.542027411865149</v>
      </c>
      <c r="H8" s="8">
        <v>21.367069529596165</v>
      </c>
      <c r="J8" s="14">
        <v>6</v>
      </c>
      <c r="K8" s="11">
        <f t="shared" si="0"/>
        <v>34.482980365688832</v>
      </c>
      <c r="L8" s="11">
        <f t="shared" si="1"/>
        <v>28.34558602433043</v>
      </c>
      <c r="M8" s="11">
        <f t="shared" si="2"/>
        <v>26.042023679573504</v>
      </c>
      <c r="N8" s="11">
        <f t="shared" si="3"/>
        <v>24.803709451303916</v>
      </c>
      <c r="O8" s="11">
        <f t="shared" si="4"/>
        <v>24.020487269083674</v>
      </c>
      <c r="P8" s="11">
        <f t="shared" si="5"/>
        <v>23.476163408762545</v>
      </c>
      <c r="Q8" s="11">
        <f t="shared" si="6"/>
        <v>23.073760811624481</v>
      </c>
    </row>
    <row r="9" spans="1:17" ht="15.75" thickBot="1" x14ac:dyDescent="0.3">
      <c r="A9" s="12">
        <v>0.14000000000000001</v>
      </c>
      <c r="B9" s="8">
        <v>26.331637219475624</v>
      </c>
      <c r="C9" s="8">
        <v>23.737930221007332</v>
      </c>
      <c r="D9" s="8">
        <v>22.735012291505029</v>
      </c>
      <c r="E9" s="8">
        <v>22.188061430554058</v>
      </c>
      <c r="F9" s="8">
        <v>21.839013597827829</v>
      </c>
      <c r="G9" s="8">
        <v>21.594914451195507</v>
      </c>
      <c r="H9" s="8">
        <v>21.413615552886995</v>
      </c>
      <c r="J9" s="14">
        <v>7</v>
      </c>
      <c r="K9" s="11">
        <f t="shared" si="0"/>
        <v>34.949127530392161</v>
      </c>
      <c r="L9" s="11">
        <f t="shared" si="1"/>
        <v>28.61173931980295</v>
      </c>
      <c r="M9" s="11">
        <f t="shared" si="2"/>
        <v>26.233961683699818</v>
      </c>
      <c r="N9" s="11">
        <f t="shared" si="3"/>
        <v>24.955964534758607</v>
      </c>
      <c r="O9" s="11">
        <f t="shared" si="4"/>
        <v>24.147725248601773</v>
      </c>
      <c r="P9" s="11">
        <f t="shared" si="5"/>
        <v>23.586054280228552</v>
      </c>
      <c r="Q9" s="11">
        <f t="shared" si="6"/>
        <v>23.170849009747542</v>
      </c>
    </row>
    <row r="10" spans="1:17" ht="15.75" thickBot="1" x14ac:dyDescent="0.3">
      <c r="A10" s="12">
        <v>0.16</v>
      </c>
      <c r="B10" s="8">
        <v>26.542733116799582</v>
      </c>
      <c r="C10" s="8">
        <v>23.855402369613955</v>
      </c>
      <c r="D10" s="8">
        <v>22.818604689680569</v>
      </c>
      <c r="E10" s="8">
        <v>22.253809866414485</v>
      </c>
      <c r="F10" s="8">
        <v>21.893629370990141</v>
      </c>
      <c r="G10" s="8">
        <v>21.641870452059152</v>
      </c>
      <c r="H10" s="8">
        <v>21.454952705953531</v>
      </c>
      <c r="J10" s="14">
        <v>8</v>
      </c>
      <c r="K10" s="11">
        <f t="shared" si="0"/>
        <v>35.364113594984758</v>
      </c>
      <c r="L10" s="11">
        <f t="shared" si="1"/>
        <v>28.848789610930226</v>
      </c>
      <c r="M10" s="11">
        <f t="shared" si="2"/>
        <v>26.404945935071851</v>
      </c>
      <c r="N10" s="11">
        <f t="shared" si="3"/>
        <v>25.091613876233623</v>
      </c>
      <c r="O10" s="11">
        <f t="shared" si="4"/>
        <v>24.261094898406213</v>
      </c>
      <c r="P10" s="11">
        <f t="shared" si="5"/>
        <v>23.683973188066432</v>
      </c>
      <c r="Q10" s="11">
        <f t="shared" si="6"/>
        <v>23.257363833695138</v>
      </c>
    </row>
    <row r="11" spans="1:17" ht="15.75" thickBot="1" x14ac:dyDescent="0.3">
      <c r="A11" s="12">
        <v>0.18</v>
      </c>
      <c r="B11" s="8">
        <v>26.7325136897486</v>
      </c>
      <c r="C11" s="8">
        <v>23.961111271586333</v>
      </c>
      <c r="D11" s="8">
        <v>22.893875849592405</v>
      </c>
      <c r="E11" s="8">
        <v>22.313041117797695</v>
      </c>
      <c r="F11" s="8">
        <v>21.942848866530994</v>
      </c>
      <c r="G11" s="8">
        <v>21.684198774337574</v>
      </c>
      <c r="H11" s="8">
        <v>21.492224368351913</v>
      </c>
    </row>
    <row r="12" spans="1:17" ht="15.75" thickBot="1" x14ac:dyDescent="0.3">
      <c r="A12" s="12">
        <v>0.2</v>
      </c>
      <c r="B12" s="8">
        <v>26.905193609091896</v>
      </c>
      <c r="C12" s="8">
        <v>24.057379858634306</v>
      </c>
      <c r="D12" s="8">
        <v>22.962465256485245</v>
      </c>
      <c r="E12" s="8">
        <v>22.367036713737718</v>
      </c>
      <c r="F12" s="8">
        <v>21.987731486622806</v>
      </c>
      <c r="G12" s="8">
        <v>21.722806708380858</v>
      </c>
      <c r="H12" s="8">
        <v>21.526226705997772</v>
      </c>
    </row>
    <row r="13" spans="1:17" ht="15.75" thickBot="1" x14ac:dyDescent="0.3">
      <c r="A13" s="12">
        <v>0.22</v>
      </c>
      <c r="B13" s="8">
        <v>27.063828268005295</v>
      </c>
      <c r="C13" s="8">
        <v>24.145891505342377</v>
      </c>
      <c r="D13" s="8">
        <v>23.025561413188029</v>
      </c>
      <c r="E13" s="8">
        <v>22.416726029411507</v>
      </c>
      <c r="F13" s="8">
        <v>22.029045792155785</v>
      </c>
      <c r="G13" s="8">
        <v>21.758352668687053</v>
      </c>
      <c r="H13" s="8">
        <v>21.557537648685695</v>
      </c>
    </row>
    <row r="14" spans="1:17" ht="15.75" thickBot="1" x14ac:dyDescent="0.3">
      <c r="A14" s="12">
        <v>0.24</v>
      </c>
      <c r="B14" s="8">
        <v>27.210706407228258</v>
      </c>
      <c r="C14" s="8">
        <v>24.227907034520911</v>
      </c>
      <c r="D14" s="8">
        <v>23.084054823730298</v>
      </c>
      <c r="E14" s="8">
        <v>22.462805678088728</v>
      </c>
      <c r="F14" s="8">
        <v>22.067368050057041</v>
      </c>
      <c r="G14" s="8">
        <v>21.791330475846735</v>
      </c>
      <c r="H14" s="8">
        <v>21.586590759340709</v>
      </c>
    </row>
    <row r="15" spans="1:17" ht="15.75" thickBot="1" x14ac:dyDescent="0.3">
      <c r="A15" s="12">
        <v>0.26</v>
      </c>
      <c r="B15" s="8">
        <v>27.347588815622998</v>
      </c>
      <c r="C15" s="8">
        <v>24.304396461427643</v>
      </c>
      <c r="D15" s="8">
        <v>23.138630863613002</v>
      </c>
      <c r="E15" s="8">
        <v>22.505812002769574</v>
      </c>
      <c r="F15" s="8">
        <v>22.103142083041462</v>
      </c>
      <c r="G15" s="8">
        <v>21.822120555065396</v>
      </c>
      <c r="H15" s="8">
        <v>21.613720117432251</v>
      </c>
    </row>
    <row r="16" spans="1:17" ht="15.75" thickBot="1" x14ac:dyDescent="0.3">
      <c r="A16" s="12">
        <v>0.28000000000000003</v>
      </c>
      <c r="B16" s="8">
        <v>27.475860442014664</v>
      </c>
      <c r="C16" s="8">
        <v>24.376122861108115</v>
      </c>
      <c r="D16" s="8">
        <v>23.189828902391014</v>
      </c>
      <c r="E16" s="8">
        <v>22.546167235418693</v>
      </c>
      <c r="F16" s="8">
        <v>22.136717388396846</v>
      </c>
      <c r="G16" s="8">
        <v>21.851022552564132</v>
      </c>
      <c r="H16" s="8">
        <v>21.639188918464868</v>
      </c>
    </row>
    <row r="17" spans="1:8" ht="15.75" thickBot="1" x14ac:dyDescent="0.3">
      <c r="A17" s="12">
        <v>0.3</v>
      </c>
      <c r="B17" s="8">
        <v>27.596631161900746</v>
      </c>
      <c r="C17" s="8">
        <v>24.443697884727897</v>
      </c>
      <c r="D17" s="8">
        <v>23.238081444218267</v>
      </c>
      <c r="E17" s="8">
        <v>22.584210062571344</v>
      </c>
      <c r="F17" s="8">
        <v>22.16837438548464</v>
      </c>
      <c r="G17" s="8">
        <v>21.878276943500907</v>
      </c>
      <c r="H17" s="8">
        <v>21.663208424601237</v>
      </c>
    </row>
    <row r="18" spans="1:8" ht="15.75" thickBot="1" x14ac:dyDescent="0.3">
      <c r="A18" s="12">
        <v>0.32</v>
      </c>
      <c r="B18" s="8">
        <v>27.71080473922791</v>
      </c>
      <c r="C18" s="8">
        <v>24.507619732828971</v>
      </c>
      <c r="D18" s="8">
        <v>23.283740904118361</v>
      </c>
      <c r="E18" s="8">
        <v>22.620216540457363</v>
      </c>
      <c r="F18" s="8">
        <v>22.198341695920078</v>
      </c>
      <c r="G18" s="8">
        <v>21.904079824278028</v>
      </c>
      <c r="H18" s="8">
        <v>21.685950940319799</v>
      </c>
    </row>
    <row r="19" spans="1:8" ht="15.75" thickBot="1" x14ac:dyDescent="0.3">
      <c r="A19" s="12">
        <v>0.34</v>
      </c>
      <c r="B19" s="8">
        <v>27.819127348744473</v>
      </c>
      <c r="C19" s="8">
        <v>24.568299863689276</v>
      </c>
      <c r="D19" s="8">
        <v>23.327098444461512</v>
      </c>
      <c r="E19" s="8">
        <v>22.654414811863205</v>
      </c>
      <c r="F19" s="8">
        <v>22.226808305495865</v>
      </c>
      <c r="G19" s="8">
        <v>21.928593325601753</v>
      </c>
      <c r="H19" s="8">
        <v>21.707558948282269</v>
      </c>
    </row>
    <row r="20" spans="1:8" ht="15.75" thickBot="1" x14ac:dyDescent="0.3">
      <c r="A20" s="12">
        <v>0.36</v>
      </c>
      <c r="B20" s="8">
        <v>27.922222543172666</v>
      </c>
      <c r="C20" s="8">
        <v>24.626082235595391</v>
      </c>
      <c r="D20" s="8">
        <v>23.368397548675091</v>
      </c>
      <c r="E20" s="8">
        <v>22.686995713770102</v>
      </c>
      <c r="F20" s="8">
        <v>22.253932332201089</v>
      </c>
      <c r="G20" s="8">
        <v>21.951953121127474</v>
      </c>
      <c r="H20" s="8">
        <v>21.728151698133559</v>
      </c>
    </row>
    <row r="21" spans="1:8" ht="15.75" thickBot="1" x14ac:dyDescent="0.3">
      <c r="A21" s="12">
        <v>0.38</v>
      </c>
      <c r="B21" s="8">
        <v>28.020616982668912</v>
      </c>
      <c r="C21" s="8">
        <v>24.681257463469706</v>
      </c>
      <c r="D21" s="8">
        <v>23.407844009692667</v>
      </c>
      <c r="E21" s="8">
        <v>22.718120585022461</v>
      </c>
      <c r="F21" s="8">
        <v>22.279847481219349</v>
      </c>
      <c r="G21" s="8">
        <v>21.974273956324112</v>
      </c>
      <c r="H21" s="8">
        <v>21.747830058826878</v>
      </c>
    </row>
    <row r="22" spans="1:8" ht="15.75" thickBot="1" x14ac:dyDescent="0.3">
      <c r="A22" s="12">
        <v>0.4</v>
      </c>
      <c r="B22" s="8">
        <v>28.114759717268612</v>
      </c>
      <c r="C22" s="8">
        <v>24.73407342747538</v>
      </c>
      <c r="D22" s="8">
        <v>23.445613416761773</v>
      </c>
      <c r="E22" s="8">
        <v>22.747927119900112</v>
      </c>
      <c r="F22" s="8">
        <v>22.304667885360402</v>
      </c>
      <c r="G22" s="8">
        <v>21.995653795146325</v>
      </c>
      <c r="H22" s="8">
        <v>21.766680158433928</v>
      </c>
    </row>
    <row r="23" spans="1:8" ht="15.75" thickBot="1" x14ac:dyDescent="0.3">
      <c r="A23" s="12">
        <v>0.42</v>
      </c>
      <c r="B23" s="8">
        <v>28.205036874515088</v>
      </c>
      <c r="C23" s="8">
        <v>24.784743353586521</v>
      </c>
      <c r="D23" s="8">
        <v>23.481856859487834</v>
      </c>
      <c r="E23" s="8">
        <v>22.776533828846198</v>
      </c>
      <c r="F23" s="8">
        <v>22.328491794441675</v>
      </c>
      <c r="G23" s="8">
        <v>22.016176981155866</v>
      </c>
      <c r="H23" s="8">
        <v>21.784776159266244</v>
      </c>
    </row>
    <row r="24" spans="1:8" ht="15.75" thickBot="1" x14ac:dyDescent="0.3">
      <c r="A24" s="12">
        <v>0.44</v>
      </c>
      <c r="B24" s="8">
        <v>28.291783010684696</v>
      </c>
      <c r="C24" s="8">
        <v>24.83345205882307</v>
      </c>
      <c r="D24" s="8">
        <v>23.516705337374049</v>
      </c>
      <c r="E24" s="8">
        <v>22.804043487617264</v>
      </c>
      <c r="F24" s="8">
        <v>22.351404428547426</v>
      </c>
      <c r="G24" s="8">
        <v>22.035916682625157</v>
      </c>
      <c r="H24" s="8">
        <v>21.802182404698158</v>
      </c>
    </row>
    <row r="25" spans="1:8" ht="15.75" thickBot="1" x14ac:dyDescent="0.3">
      <c r="A25" s="12">
        <v>0.46</v>
      </c>
      <c r="B25" s="8">
        <v>28.375289998597111</v>
      </c>
      <c r="C25" s="8">
        <v>24.880360841533786</v>
      </c>
      <c r="D25" s="8">
        <v>23.550273213503772</v>
      </c>
      <c r="E25" s="8">
        <v>22.830545839339038</v>
      </c>
      <c r="F25" s="8">
        <v>22.37348021366563</v>
      </c>
      <c r="G25" s="8">
        <v>22.054936808657715</v>
      </c>
      <c r="H25" s="8">
        <v>21.818955101752465</v>
      </c>
    </row>
    <row r="26" spans="1:8" ht="15.75" thickBot="1" x14ac:dyDescent="0.3">
      <c r="A26" s="12">
        <v>0.48</v>
      </c>
      <c r="B26" s="8">
        <v>28.455814069041764</v>
      </c>
      <c r="C26" s="8">
        <v>24.925611356177512</v>
      </c>
      <c r="D26" s="8">
        <v>23.58266095169347</v>
      </c>
      <c r="E26" s="8">
        <v>22.856119736416986</v>
      </c>
      <c r="F26" s="8">
        <v>22.394784554175601</v>
      </c>
      <c r="G26" s="8">
        <v>22.073293528568513</v>
      </c>
      <c r="H26" s="8">
        <v>21.83514365546165</v>
      </c>
    </row>
    <row r="27" spans="1:8" ht="15.75" thickBot="1" x14ac:dyDescent="0.3">
      <c r="A27" s="12">
        <v>0.5</v>
      </c>
      <c r="B27" s="8">
        <v>28.53358144935271</v>
      </c>
      <c r="C27" s="8">
        <v>24.969328716557015</v>
      </c>
      <c r="D27" s="8">
        <v>23.613957309141085</v>
      </c>
      <c r="E27" s="8">
        <v>22.880834856700517</v>
      </c>
      <c r="F27" s="8">
        <v>22.415375253253274</v>
      </c>
      <c r="G27" s="8">
        <v>22.091036489626561</v>
      </c>
      <c r="H27" s="8">
        <v>21.850791738445196</v>
      </c>
    </row>
    <row r="28" spans="1:8" ht="15.75" thickBot="1" x14ac:dyDescent="0.3">
      <c r="A28" s="12">
        <v>0.52</v>
      </c>
      <c r="B28" s="8">
        <v>28.608792922855287</v>
      </c>
      <c r="C28" s="8">
        <v>25.011624005539147</v>
      </c>
      <c r="D28" s="8">
        <v>23.644241110130849</v>
      </c>
      <c r="E28" s="8">
        <v>22.904753092014573</v>
      </c>
      <c r="F28" s="8">
        <v>22.435303662289982</v>
      </c>
      <c r="G28" s="8">
        <v>22.108209802602914</v>
      </c>
      <c r="H28" s="8">
        <v>21.865938156639118</v>
      </c>
    </row>
    <row r="29" spans="1:8" ht="15.75" thickBot="1" x14ac:dyDescent="0.3">
      <c r="A29" s="12">
        <v>0.54</v>
      </c>
      <c r="B29" s="8">
        <v>28.681627548777158</v>
      </c>
      <c r="C29" s="8">
        <v>25.052596323012665</v>
      </c>
      <c r="D29" s="8">
        <v>23.673582693726985</v>
      </c>
      <c r="E29" s="8">
        <v>22.927929681691182</v>
      </c>
      <c r="F29" s="8">
        <v>22.454615619366393</v>
      </c>
      <c r="G29" s="8">
        <v>22.124852846548947</v>
      </c>
      <c r="H29" s="8">
        <v>21.880617556306788</v>
      </c>
    </row>
    <row r="30" spans="1:8" ht="15.75" thickBot="1" x14ac:dyDescent="0.3">
      <c r="A30" s="12">
        <v>0.56000000000000005</v>
      </c>
      <c r="B30" s="8">
        <v>28.75224572221623</v>
      </c>
      <c r="C30" s="8">
        <v>25.092334470837386</v>
      </c>
      <c r="D30" s="8">
        <v>23.70204510512832</v>
      </c>
      <c r="E30" s="8">
        <v>22.950414145559705</v>
      </c>
      <c r="F30" s="8">
        <v>22.473352221807488</v>
      </c>
      <c r="G30" s="8">
        <v>22.141000931371934</v>
      </c>
      <c r="H30" s="8">
        <v>21.894861006180008</v>
      </c>
    </row>
    <row r="31" spans="1:8" ht="15.75" thickBot="1" x14ac:dyDescent="0.3">
      <c r="A31" s="12">
        <v>0.57999999999999996</v>
      </c>
      <c r="B31" s="8">
        <v>28.820791710371964</v>
      </c>
      <c r="C31" s="8">
        <v>25.130918349678893</v>
      </c>
      <c r="D31" s="8">
        <v>23.729685083528466</v>
      </c>
      <c r="E31" s="8">
        <v>22.972251057710992</v>
      </c>
      <c r="F31" s="8">
        <v>22.491550466982517</v>
      </c>
      <c r="G31" s="8">
        <v>22.156685847474705</v>
      </c>
      <c r="H31" s="8">
        <v>21.908696480420815</v>
      </c>
    </row>
    <row r="32" spans="1:8" ht="15.75" thickBot="1" x14ac:dyDescent="0.3">
      <c r="A32" s="12">
        <v>0.6</v>
      </c>
      <c r="B32" s="8">
        <v>28.887395769455793</v>
      </c>
      <c r="C32" s="8">
        <v>25.168420125142632</v>
      </c>
      <c r="D32" s="8">
        <v>23.756553887001814</v>
      </c>
      <c r="E32" s="8">
        <v>22.993480692719515</v>
      </c>
      <c r="F32" s="8">
        <v>22.509243787551895</v>
      </c>
      <c r="G32" s="8">
        <v>22.171936324909154</v>
      </c>
      <c r="H32" s="8">
        <v>21.922149262110679</v>
      </c>
    </row>
    <row r="33" spans="1:8" ht="15.75" thickBot="1" x14ac:dyDescent="0.3">
      <c r="A33" s="12">
        <v>0.62</v>
      </c>
      <c r="B33" s="8">
        <v>28.952175923130085</v>
      </c>
      <c r="C33" s="8">
        <v>25.20490520766657</v>
      </c>
      <c r="D33" s="8">
        <v>23.782697985795494</v>
      </c>
      <c r="E33" s="8">
        <v>23.014139568863925</v>
      </c>
      <c r="F33" s="8">
        <v>22.526462501460173</v>
      </c>
      <c r="G33" s="8">
        <v>22.186778419436848</v>
      </c>
      <c r="H33" s="8">
        <v>21.935242282537843</v>
      </c>
    </row>
    <row r="34" spans="1:8" ht="15.75" thickBot="1" x14ac:dyDescent="0.3">
      <c r="A34" s="12">
        <v>0.64</v>
      </c>
      <c r="B34" s="8">
        <v>29.015239465657942</v>
      </c>
      <c r="C34" s="8">
        <v>25.240433080914727</v>
      </c>
      <c r="D34" s="8">
        <v>23.808159648556</v>
      </c>
      <c r="E34" s="8">
        <v>23.034260907531859</v>
      </c>
      <c r="F34" s="8">
        <v>22.543234192546095</v>
      </c>
      <c r="G34" s="8">
        <v>22.201235839096853</v>
      </c>
      <c r="H34" s="8">
        <v>21.947996408223901</v>
      </c>
    </row>
    <row r="35" spans="1:8" ht="15.75" thickBot="1" x14ac:dyDescent="0.3">
      <c r="A35" s="12">
        <v>0.66</v>
      </c>
      <c r="B35" s="8">
        <v>29.076684239564031</v>
      </c>
      <c r="C35" s="8">
        <v>25.275058006061101</v>
      </c>
      <c r="D35" s="8">
        <v>23.832977440829211</v>
      </c>
      <c r="E35" s="8">
        <v>23.053875023937735</v>
      </c>
      <c r="F35" s="8">
        <v>22.559584034285251</v>
      </c>
      <c r="G35" s="8">
        <v>22.215330222008902</v>
      </c>
      <c r="H35" s="8">
        <v>21.960430685109714</v>
      </c>
    </row>
    <row r="36" spans="1:8" ht="15.75" thickBot="1" x14ac:dyDescent="0.3">
      <c r="A36" s="12">
        <v>0.68</v>
      </c>
      <c r="B36" s="8">
        <v>29.136599727378496</v>
      </c>
      <c r="C36" s="8">
        <v>25.308829623726353</v>
      </c>
      <c r="D36" s="8">
        <v>23.857186651203449</v>
      </c>
      <c r="E36" s="8">
        <v>23.07300966117873</v>
      </c>
      <c r="F36" s="8">
        <v>22.575535066616908</v>
      </c>
      <c r="G36" s="8">
        <v>22.229081373939209</v>
      </c>
      <c r="H36" s="8">
        <v>21.972562547389828</v>
      </c>
    </row>
    <row r="37" spans="1:8" ht="15.75" thickBot="1" x14ac:dyDescent="0.3">
      <c r="A37" s="12">
        <v>0.70000000000000007</v>
      </c>
      <c r="B37" s="8">
        <v>29.195067989139147</v>
      </c>
      <c r="C37" s="8">
        <v>25.341793470992116</v>
      </c>
      <c r="D37" s="8">
        <v>23.88081965740281</v>
      </c>
      <c r="E37" s="8">
        <v>23.091690277259374</v>
      </c>
      <c r="F37" s="8">
        <v>22.591108433823251</v>
      </c>
      <c r="G37" s="8">
        <v>22.242507472462478</v>
      </c>
      <c r="H37" s="8">
        <v>21.984407996995742</v>
      </c>
    </row>
    <row r="38" spans="1:8" ht="15.75" thickBot="1" x14ac:dyDescent="0.3">
      <c r="A38" s="12">
        <v>0.72</v>
      </c>
      <c r="B38" s="8">
        <v>29.252164471190838</v>
      </c>
      <c r="C38" s="8">
        <v>25.373991427540147</v>
      </c>
      <c r="D38" s="8">
        <v>23.903906242254948</v>
      </c>
      <c r="E38" s="8">
        <v>23.109940292852798</v>
      </c>
      <c r="F38" s="8">
        <v>22.606323589890962</v>
      </c>
      <c r="G38" s="8">
        <v>22.255625243229588</v>
      </c>
      <c r="H38" s="8">
        <v>21.995981758568178</v>
      </c>
    </row>
    <row r="39" spans="1:8" ht="15.75" thickBot="1" x14ac:dyDescent="0.3">
      <c r="A39" s="12">
        <v>0.74</v>
      </c>
      <c r="B39" s="8">
        <v>29.3079587070049</v>
      </c>
      <c r="C39" s="8">
        <v>25.405462102318495</v>
      </c>
      <c r="D39" s="8">
        <v>23.926473867589664</v>
      </c>
      <c r="E39" s="8">
        <v>23.127781306102975</v>
      </c>
      <c r="F39" s="8">
        <v>22.621198476573056</v>
      </c>
      <c r="G39" s="8">
        <v>22.268450112816765</v>
      </c>
      <c r="H39" s="8">
        <v>22.007297413849358</v>
      </c>
    </row>
    <row r="40" spans="1:8" ht="15.75" thickBot="1" x14ac:dyDescent="0.3">
      <c r="A40" s="12">
        <v>0.76</v>
      </c>
      <c r="B40" s="8">
        <v>29.362514926939411</v>
      </c>
      <c r="C40" s="8">
        <v>25.436241170044923</v>
      </c>
      <c r="D40" s="8">
        <v>23.948547912648223</v>
      </c>
      <c r="E40" s="8">
        <v>23.145233279620754</v>
      </c>
      <c r="F40" s="8">
        <v>22.635749678416289</v>
      </c>
      <c r="G40" s="8">
        <v>22.280996341812511</v>
      </c>
      <c r="H40" s="8">
        <v>22.018367518707294</v>
      </c>
    </row>
    <row r="41" spans="1:8" ht="15.75" thickBot="1" x14ac:dyDescent="0.3">
      <c r="A41" s="12">
        <v>0.78</v>
      </c>
      <c r="B41" s="8">
        <v>29.415892590838951</v>
      </c>
      <c r="C41" s="8">
        <v>25.466361665196246</v>
      </c>
      <c r="D41" s="8">
        <v>23.970151882408572</v>
      </c>
      <c r="E41" s="8">
        <v>23.162314703904372</v>
      </c>
      <c r="F41" s="8">
        <v>22.649992558257395</v>
      </c>
      <c r="G41" s="8">
        <v>22.293277141146916</v>
      </c>
      <c r="H41" s="8">
        <v>22.029203705431428</v>
      </c>
    </row>
    <row r="42" spans="1:8" ht="15.75" thickBot="1" x14ac:dyDescent="0.3">
      <c r="A42" s="12">
        <v>0.8</v>
      </c>
      <c r="B42" s="8">
        <v>29.46814685495076</v>
      </c>
      <c r="C42" s="8">
        <v>25.495854239800224</v>
      </c>
      <c r="D42" s="8">
        <v>23.991307590292706</v>
      </c>
      <c r="E42" s="8">
        <v>23.179042740682632</v>
      </c>
      <c r="F42" s="8">
        <v>22.663941376083756</v>
      </c>
      <c r="G42" s="8">
        <v>22.305304774146407</v>
      </c>
      <c r="H42" s="8">
        <v>22.039816772481515</v>
      </c>
    </row>
    <row r="43" spans="1:8" ht="15.75" thickBot="1" x14ac:dyDescent="0.3">
      <c r="A43" s="12">
        <v>0.82000000000000006</v>
      </c>
      <c r="B43" s="8">
        <v>29.519328982685749</v>
      </c>
      <c r="C43" s="8">
        <v>25.524747390274911</v>
      </c>
      <c r="D43" s="8">
        <v>24.012035318964308</v>
      </c>
      <c r="E43" s="8">
        <v>23.195433349084226</v>
      </c>
      <c r="F43" s="8">
        <v>22.677609393664113</v>
      </c>
      <c r="G43" s="8">
        <v>22.317090646376755</v>
      </c>
      <c r="H43" s="8">
        <v>22.050216763501851</v>
      </c>
    </row>
    <row r="44" spans="1:8" ht="15.75" thickBot="1" x14ac:dyDescent="0.3">
      <c r="A44" s="12">
        <v>0.84</v>
      </c>
      <c r="B44" s="8">
        <v>29.569486707173098</v>
      </c>
      <c r="C44" s="8">
        <v>25.553067657692452</v>
      </c>
      <c r="D44" s="8">
        <v>24.032353962311674</v>
      </c>
      <c r="E44" s="8">
        <v>23.21150139705793</v>
      </c>
      <c r="F44" s="8">
        <v>22.691008966954996</v>
      </c>
      <c r="G44" s="8">
        <v>22.328645384996207</v>
      </c>
      <c r="H44" s="8">
        <v>22.060413037114358</v>
      </c>
    </row>
    <row r="45" spans="1:8" ht="15.75" thickBot="1" x14ac:dyDescent="0.3">
      <c r="A45" s="12">
        <v>0.86</v>
      </c>
      <c r="B45" s="8">
        <v>29.618664552271412</v>
      </c>
      <c r="C45" s="8">
        <v>25.58083980513527</v>
      </c>
      <c r="D45" s="8">
        <v>24.052281151210309</v>
      </c>
      <c r="E45" s="8">
        <v>23.227260760074728</v>
      </c>
      <c r="F45" s="8">
        <v>22.704151627968258</v>
      </c>
      <c r="G45" s="8">
        <v>22.339978909062211</v>
      </c>
      <c r="H45" s="8">
        <v>22.070414328758488</v>
      </c>
    </row>
    <row r="46" spans="1:8" ht="15.75" thickBot="1" x14ac:dyDescent="0.3">
      <c r="A46" s="12">
        <v>0.88</v>
      </c>
      <c r="B46" s="8">
        <v>29.666904117646141</v>
      </c>
      <c r="C46" s="8">
        <v>25.608086975234585</v>
      </c>
      <c r="D46" s="8">
        <v>24.071833365250313</v>
      </c>
      <c r="E46" s="8">
        <v>23.242724408826007</v>
      </c>
      <c r="F46" s="8">
        <v>22.717048157516729</v>
      </c>
      <c r="G46" s="8">
        <v>22.351100492009436</v>
      </c>
      <c r="H46" s="8">
        <v>22.080228805647891</v>
      </c>
    </row>
    <row r="47" spans="1:8" ht="15.75" thickBot="1" x14ac:dyDescent="0.3">
      <c r="A47" s="12">
        <v>0.9</v>
      </c>
      <c r="B47" s="8">
        <v>29.714244332654857</v>
      </c>
      <c r="C47" s="8">
        <v>25.634830830502779</v>
      </c>
      <c r="D47" s="8">
        <v>24.091026032277341</v>
      </c>
      <c r="E47" s="8">
        <v>23.257904487363703</v>
      </c>
      <c r="F47" s="8">
        <v>22.729708650037139</v>
      </c>
      <c r="G47" s="8">
        <v>22.362018817326543</v>
      </c>
      <c r="H47" s="8">
        <v>22.089864115747844</v>
      </c>
    </row>
    <row r="48" spans="1:8" ht="15.75" thickBot="1" x14ac:dyDescent="0.3">
      <c r="A48" s="12">
        <v>0.92</v>
      </c>
      <c r="B48" s="8">
        <v>29.760721683067572</v>
      </c>
      <c r="C48" s="8">
        <v>25.661091678678133</v>
      </c>
      <c r="D48" s="8">
        <v>24.109873617315372</v>
      </c>
      <c r="E48" s="8">
        <v>23.272812382913628</v>
      </c>
      <c r="F48" s="8">
        <v>22.742142571510271</v>
      </c>
      <c r="G48" s="8">
        <v>22.372742028307528</v>
      </c>
      <c r="H48" s="8">
        <v>22.099327431542008</v>
      </c>
    </row>
    <row r="49" spans="1:8" ht="15.75" thickBot="1" x14ac:dyDescent="0.3">
      <c r="A49" s="12">
        <v>0.94000000000000006</v>
      </c>
      <c r="B49" s="8">
        <v>29.806370414051457</v>
      </c>
      <c r="C49" s="8">
        <v>25.686888584971825</v>
      </c>
      <c r="D49" s="8">
        <v>24.128389702210256</v>
      </c>
      <c r="E49" s="8">
        <v>23.287458788409538</v>
      </c>
      <c r="F49" s="8">
        <v>22.75435881134581</v>
      </c>
      <c r="G49" s="8">
        <v>22.383277772621511</v>
      </c>
      <c r="H49" s="8">
        <v>22.108625489243082</v>
      </c>
    </row>
    <row r="50" spans="1:8" ht="15.75" thickBot="1" x14ac:dyDescent="0.3">
      <c r="A50" s="12">
        <v>0.96</v>
      </c>
      <c r="B50" s="8">
        <v>29.851222712355025</v>
      </c>
      <c r="C50" s="8">
        <v>25.712239472834028</v>
      </c>
      <c r="D50" s="8">
        <v>24.146587057137026</v>
      </c>
      <c r="E50" s="8">
        <v>23.301853758645336</v>
      </c>
      <c r="F50" s="8">
        <v>22.7663657289757</v>
      </c>
      <c r="G50" s="8">
        <v>22.393633242339774</v>
      </c>
      <c r="H50" s="8">
        <v>22.117764624008601</v>
      </c>
    </row>
    <row r="51" spans="1:8" ht="15.75" thickBot="1" x14ac:dyDescent="0.3">
      <c r="A51" s="12">
        <v>0.98</v>
      </c>
      <c r="B51" s="8">
        <v>29.895308870209135</v>
      </c>
      <c r="C51" s="8">
        <v>25.737161214627008</v>
      </c>
      <c r="D51" s="8">
        <v>24.164477704954493</v>
      </c>
      <c r="E51" s="8">
        <v>23.316006760815071</v>
      </c>
      <c r="F51" s="8">
        <v>22.778171195794073</v>
      </c>
      <c r="G51" s="8">
        <v>22.403815209966751</v>
      </c>
      <c r="H51" s="8">
        <v>22.126750801642686</v>
      </c>
    </row>
    <row r="52" spans="1:8" ht="15.75" thickBot="1" x14ac:dyDescent="0.3">
      <c r="A52" s="12">
        <v>1</v>
      </c>
      <c r="B52" s="8">
        <v>29.938657433113974</v>
      </c>
      <c r="C52" s="8">
        <v>25.761669713400977</v>
      </c>
      <c r="D52" s="8">
        <v>24.182072979253121</v>
      </c>
      <c r="E52" s="8">
        <v>23.329926720104709</v>
      </c>
      <c r="F52" s="8">
        <v>22.789782632993365</v>
      </c>
      <c r="G52" s="8">
        <v>22.413830060948158</v>
      </c>
      <c r="H52" s="8">
        <v>22.135589647198856</v>
      </c>
    </row>
    <row r="53" spans="1:8" ht="15.75" thickBot="1" x14ac:dyDescent="0.3">
      <c r="A53" s="12">
        <v>1.02</v>
      </c>
      <c r="B53" s="8">
        <v>29.98129533338448</v>
      </c>
      <c r="C53" s="8">
        <v>25.785779976805202</v>
      </c>
      <c r="D53" s="8">
        <v>24.199383576827245</v>
      </c>
      <c r="E53" s="8">
        <v>23.343622060908785</v>
      </c>
      <c r="F53" s="8">
        <v>22.801207045772401</v>
      </c>
      <c r="G53" s="8">
        <v>22.423683823062333</v>
      </c>
      <c r="H53" s="8">
        <v>22.144286470842985</v>
      </c>
    </row>
    <row r="54" spans="1:8" ht="15.75" thickBot="1" x14ac:dyDescent="0.3">
      <c r="A54" s="12">
        <v>1.04</v>
      </c>
      <c r="B54" s="8">
        <v>30.023248011078238</v>
      </c>
      <c r="C54" s="8">
        <v>25.809506184029146</v>
      </c>
      <c r="D54" s="8">
        <v>24.216419605205829</v>
      </c>
      <c r="E54" s="8">
        <v>23.357100744168747</v>
      </c>
      <c r="F54" s="8">
        <v>22.812451054327369</v>
      </c>
      <c r="G54" s="8">
        <v>22.433382193050306</v>
      </c>
      <c r="H54" s="8">
        <v>22.152846291285982</v>
      </c>
    </row>
    <row r="55" spans="1:8" ht="15.75" thickBot="1" x14ac:dyDescent="0.3">
      <c r="A55" s="12">
        <v>1.06</v>
      </c>
      <c r="B55" s="8">
        <v>30.064539523716121</v>
      </c>
      <c r="C55" s="8">
        <v>25.832861746552624</v>
      </c>
      <c r="D55" s="8">
        <v>24.233190625792986</v>
      </c>
      <c r="E55" s="8">
        <v>23.37037030126578</v>
      </c>
      <c r="F55" s="8">
        <v>22.823520921985505</v>
      </c>
      <c r="G55" s="8">
        <v>22.442930560790842</v>
      </c>
      <c r="H55" s="8">
        <v>22.161273857058006</v>
      </c>
    </row>
    <row r="56" spans="1:8" ht="15.75" thickBot="1" x14ac:dyDescent="0.3">
      <c r="A56" s="12">
        <v>1.08</v>
      </c>
      <c r="B56" s="8">
        <v>30.105192646025273</v>
      </c>
      <c r="C56" s="8">
        <v>25.855859363382422</v>
      </c>
      <c r="D56" s="8">
        <v>24.249705693097951</v>
      </c>
      <c r="E56" s="8">
        <v>23.383437864844382</v>
      </c>
      <c r="F56" s="8">
        <v>22.834422580791852</v>
      </c>
      <c r="G56" s="8">
        <v>22.452334031288615</v>
      </c>
      <c r="H56" s="8">
        <v>22.169573665858934</v>
      </c>
    </row>
    <row r="57" spans="1:8" ht="15.75" thickBot="1" x14ac:dyDescent="0.3">
      <c r="A57" s="12">
        <v>1.1000000000000001</v>
      </c>
      <c r="B57" s="8">
        <v>30.145228960778979</v>
      </c>
      <c r="C57" s="8">
        <v>25.878511071368507</v>
      </c>
      <c r="D57" s="8">
        <v>24.265973390475438</v>
      </c>
      <c r="E57" s="8">
        <v>23.396310196895911</v>
      </c>
      <c r="F57" s="8">
        <v>22.845161654824267</v>
      </c>
      <c r="G57" s="8">
        <v>22.461597444710776</v>
      </c>
      <c r="H57" s="8">
        <v>22.177749982191983</v>
      </c>
    </row>
    <row r="58" spans="1:8" ht="15.75" thickBot="1" x14ac:dyDescent="0.3">
      <c r="A58" s="12">
        <v>1.1200000000000001</v>
      </c>
      <c r="B58" s="8">
        <v>30.184668941674829</v>
      </c>
      <c r="C58" s="8">
        <v>25.900828291119353</v>
      </c>
      <c r="D58" s="8">
        <v>24.282001862743869</v>
      </c>
      <c r="E58" s="8">
        <v>23.408993714391784</v>
      </c>
      <c r="F58" s="8">
        <v>22.855743481474065</v>
      </c>
      <c r="G58" s="8">
        <v>22.47072539467672</v>
      </c>
      <c r="H58" s="8">
        <v>22.185806853460349</v>
      </c>
    </row>
    <row r="59" spans="1:8" ht="15.75" thickBot="1" x14ac:dyDescent="0.3">
      <c r="A59" s="12">
        <v>1.1400000000000001</v>
      </c>
      <c r="B59" s="8">
        <v>30.223532029077944</v>
      </c>
      <c r="C59" s="8">
        <v>25.922821868972392</v>
      </c>
      <c r="D59" s="8">
        <v>24.297798846004923</v>
      </c>
      <c r="E59" s="8">
        <v>23.421494512718823</v>
      </c>
      <c r="F59" s="8">
        <v>22.866173130904485</v>
      </c>
      <c r="G59" s="8">
        <v>22.479722244981701</v>
      </c>
      <c r="H59" s="8">
        <v>22.193748124686579</v>
      </c>
    </row>
    <row r="60" spans="1:8" ht="15.75" thickBot="1" x14ac:dyDescent="0.3">
      <c r="A60" s="12">
        <v>1.1599999999999999</v>
      </c>
      <c r="B60" s="8">
        <v>30.26183669935773</v>
      </c>
      <c r="C60" s="8">
        <v>25.944502115421926</v>
      </c>
      <c r="D60" s="8">
        <v>24.313371694949353</v>
      </c>
      <c r="E60" s="8">
        <v>23.433818387140775</v>
      </c>
      <c r="F60" s="8">
        <v>22.876455423870595</v>
      </c>
      <c r="G60" s="8">
        <v>22.488592144913753</v>
      </c>
      <c r="H60" s="8">
        <v>22.201577451994012</v>
      </c>
    </row>
    <row r="61" spans="1:8" ht="15.75" thickBot="1" x14ac:dyDescent="0.3">
      <c r="A61" s="12">
        <v>1.18</v>
      </c>
      <c r="B61" s="8">
        <v>30.299600528460303</v>
      </c>
      <c r="C61" s="8">
        <v>25.96587884035938</v>
      </c>
      <c r="D61" s="8">
        <v>24.328727407900544</v>
      </c>
      <c r="E61" s="8">
        <v>23.445970852483811</v>
      </c>
      <c r="F61" s="8">
        <v>22.886594948065635</v>
      </c>
      <c r="G61" s="8">
        <v>22.497339043304123</v>
      </c>
      <c r="H61" s="8">
        <v>22.209298314973921</v>
      </c>
    </row>
    <row r="62" spans="1:8" ht="15.75" thickBot="1" x14ac:dyDescent="0.3">
      <c r="A62" s="12">
        <v>1.2</v>
      </c>
      <c r="B62" s="8">
        <v>30.336840250285263</v>
      </c>
      <c r="C62" s="8">
        <v>25.986961385439031</v>
      </c>
      <c r="D62" s="8">
        <v>24.343872649818252</v>
      </c>
      <c r="E62" s="8">
        <v>23.45795716121961</v>
      </c>
      <c r="F62" s="8">
        <v>22.896596073137744</v>
      </c>
      <c r="G62" s="8">
        <v>22.505966701435682</v>
      </c>
      <c r="H62" s="8">
        <v>22.216914028048052</v>
      </c>
    </row>
    <row r="63" spans="1:8" ht="15.75" thickBot="1" x14ac:dyDescent="0.3">
      <c r="A63" s="12">
        <v>1.22</v>
      </c>
      <c r="B63" s="8">
        <v>30.373571810370606</v>
      </c>
      <c r="C63" s="8">
        <v>26.007758653847986</v>
      </c>
      <c r="D63" s="8">
        <v>24.358813773459758</v>
      </c>
      <c r="E63" s="8">
        <v>23.469782320101331</v>
      </c>
      <c r="F63" s="8">
        <v>22.906462964505806</v>
      </c>
      <c r="G63" s="8">
        <v>22.514478704919213</v>
      </c>
      <c r="H63" s="8">
        <v>22.224427750923041</v>
      </c>
    </row>
    <row r="64" spans="1:8" ht="15.75" thickBot="1" x14ac:dyDescent="0.3">
      <c r="A64" s="12">
        <v>1.24</v>
      </c>
      <c r="B64" s="8">
        <v>30.409810415333141</v>
      </c>
      <c r="C64" s="8">
        <v>26.02827913772785</v>
      </c>
      <c r="D64" s="8">
        <v>24.37355683887364</v>
      </c>
      <c r="E64" s="8">
        <v>23.481451105490009</v>
      </c>
      <c r="F64" s="8">
        <v>22.91619959608829</v>
      </c>
      <c r="G64" s="8">
        <v>22.522878474636343</v>
      </c>
      <c r="H64" s="8">
        <v>22.231842498223159</v>
      </c>
    </row>
    <row r="65" spans="1:8" ht="15.75" thickBot="1" x14ac:dyDescent="0.3">
      <c r="A65" s="12">
        <v>1.26</v>
      </c>
      <c r="B65" s="8">
        <v>30.445570578463503</v>
      </c>
      <c r="C65" s="8">
        <v>26.04853094346754</v>
      </c>
      <c r="D65" s="8">
        <v>24.388107631382582</v>
      </c>
      <c r="E65" s="8">
        <v>23.492968077494254</v>
      </c>
      <c r="F65" s="8">
        <v>22.925809762046981</v>
      </c>
      <c r="G65" s="8">
        <v>22.531169276835442</v>
      </c>
      <c r="H65" s="8">
        <v>22.23916114837823</v>
      </c>
    </row>
    <row r="66" spans="1:8" ht="15.75" thickBot="1" x14ac:dyDescent="0.3">
      <c r="A66" s="12">
        <v>1.28</v>
      </c>
      <c r="B66" s="8">
        <v>30.48086616182951</v>
      </c>
      <c r="C66" s="8">
        <v>26.068521815063718</v>
      </c>
      <c r="D66" s="8">
        <v>24.402471678193763</v>
      </c>
      <c r="E66" s="8">
        <v>23.504337593031437</v>
      </c>
      <c r="F66" s="8">
        <v>22.935297087635774</v>
      </c>
      <c r="G66" s="8">
        <v>22.539354232459061</v>
      </c>
      <c r="H66" s="8">
        <v>22.246386451835008</v>
      </c>
    </row>
    <row r="67" spans="1:8" ht="15.75" thickBot="1" x14ac:dyDescent="0.3">
      <c r="A67" s="12">
        <v>1.3</v>
      </c>
      <c r="B67" s="8">
        <v>30.515710415207195</v>
      </c>
      <c r="C67" s="8">
        <v>26.088259155724984</v>
      </c>
      <c r="D67" s="8">
        <v>24.416654263762268</v>
      </c>
      <c r="E67" s="8">
        <v>23.515563817909253</v>
      </c>
      <c r="F67" s="8">
        <v>22.944665039236554</v>
      </c>
      <c r="G67" s="8">
        <v>22.547436325772082</v>
      </c>
      <c r="H67" s="8">
        <v>22.253521038653048</v>
      </c>
    </row>
    <row r="68" spans="1:8" ht="15.75" thickBot="1" x14ac:dyDescent="0.3">
      <c r="A68" s="12">
        <v>1.32</v>
      </c>
      <c r="B68" s="8">
        <v>30.550116012122203</v>
      </c>
      <c r="C68" s="8">
        <v>26.107750047875527</v>
      </c>
      <c r="D68" s="8">
        <v>24.430660444017747</v>
      </c>
      <c r="E68" s="8">
        <v>23.526650738014155</v>
      </c>
      <c r="F68" s="8">
        <v>22.95391693365292</v>
      </c>
      <c r="G68" s="8">
        <v>22.555418412353049</v>
      </c>
      <c r="H68" s="8">
        <v>22.260567425540842</v>
      </c>
    </row>
    <row r="69" spans="1:8" ht="15.75" thickBot="1" x14ac:dyDescent="0.3">
      <c r="A69" s="12">
        <v>1.34</v>
      </c>
      <c r="B69" s="8">
        <v>30.584095083257012</v>
      </c>
      <c r="C69" s="8">
        <v>26.12700127170018</v>
      </c>
      <c r="D69" s="8">
        <v>24.444495059555038</v>
      </c>
      <c r="E69" s="8">
        <v>23.537602169686124</v>
      </c>
      <c r="F69" s="8">
        <v>22.963055946729185</v>
      </c>
      <c r="G69" s="8">
        <v>22.563303226504559</v>
      </c>
      <c r="H69" s="8">
        <v>22.267528022379679</v>
      </c>
    </row>
    <row r="70" spans="1:8" ht="15.75" thickBot="1" x14ac:dyDescent="0.3">
      <c r="A70" s="12">
        <v>1.36</v>
      </c>
      <c r="B70" s="8">
        <v>30.617659247452707</v>
      </c>
      <c r="C70" s="8">
        <v>26.146019322357461</v>
      </c>
      <c r="D70" s="8">
        <v>24.458162747878362</v>
      </c>
      <c r="E70" s="8">
        <v>23.54842176934909</v>
      </c>
      <c r="F70" s="8">
        <v>22.972085121350858</v>
      </c>
      <c r="G70" s="8">
        <v>22.571093388133249</v>
      </c>
      <c r="H70" s="8">
        <v>22.274405138281622</v>
      </c>
    </row>
    <row r="71" spans="1:8" ht="15.75" thickBot="1" x14ac:dyDescent="0.3">
      <c r="A71" s="12">
        <v>1.3800000000000001</v>
      </c>
      <c r="B71" s="8">
        <v>30.650819640511372</v>
      </c>
      <c r="C71" s="8">
        <v>26.164810425973087</v>
      </c>
      <c r="D71" s="8">
        <v>24.471667954779832</v>
      </c>
      <c r="E71" s="8">
        <v>23.55911304246132</v>
      </c>
      <c r="F71" s="8">
        <v>22.981007374880903</v>
      </c>
      <c r="G71" s="8">
        <v>22.578791409143946</v>
      </c>
      <c r="H71" s="8">
        <v>22.281200987219165</v>
      </c>
    </row>
    <row r="72" spans="1:8" ht="15.75" thickBot="1" x14ac:dyDescent="0.3">
      <c r="A72" s="12">
        <v>1.4000000000000001</v>
      </c>
      <c r="B72" s="8">
        <v>30.683586941984231</v>
      </c>
      <c r="C72" s="8">
        <v>26.183380554518749</v>
      </c>
      <c r="D72" s="8">
        <v>24.485014944924956</v>
      </c>
      <c r="E72" s="8">
        <v>23.569679351842638</v>
      </c>
      <c r="F72" s="8">
        <v>22.989825506078432</v>
      </c>
      <c r="G72" s="8">
        <v>22.586399699389403</v>
      </c>
      <c r="H72" s="8">
        <v>22.287917693264205</v>
      </c>
    </row>
    <row r="73" spans="1:8" ht="15.75" thickBot="1" x14ac:dyDescent="0.3">
      <c r="A73" s="12">
        <v>1.42</v>
      </c>
      <c r="B73" s="8">
        <v>30.715971400113744</v>
      </c>
      <c r="C73" s="8">
        <v>26.201735439666777</v>
      </c>
      <c r="D73" s="8">
        <v>24.498207811711268</v>
      </c>
      <c r="E73" s="8">
        <v>23.5801239254302</v>
      </c>
      <c r="F73" s="8">
        <v>22.998542201542989</v>
      </c>
      <c r="G73" s="8">
        <v>22.593920572211971</v>
      </c>
      <c r="H73" s="8">
        <v>22.294557295467996</v>
      </c>
    </row>
    <row r="74" spans="1:8" ht="15.75" thickBot="1" x14ac:dyDescent="0.3">
      <c r="A74" s="12">
        <v>1.44</v>
      </c>
      <c r="B74" s="8">
        <v>30.747982855080352</v>
      </c>
      <c r="C74" s="8">
        <v>26.219880585705539</v>
      </c>
      <c r="D74" s="8">
        <v>24.511250486459176</v>
      </c>
      <c r="E74" s="8">
        <v>23.590449863509662</v>
      </c>
      <c r="F74" s="8">
        <v>23.007160041722784</v>
      </c>
      <c r="G74" s="8">
        <v>22.601356249611001</v>
      </c>
      <c r="H74" s="8">
        <v>22.301121752410722</v>
      </c>
    </row>
    <row r="75" spans="1:8" ht="15.75" thickBot="1" x14ac:dyDescent="0.3">
      <c r="A75" s="12">
        <v>1.46</v>
      </c>
      <c r="B75" s="8">
        <v>30.779630760691475</v>
      </c>
      <c r="C75" s="8">
        <v>26.237821281591494</v>
      </c>
      <c r="D75" s="8">
        <v>24.524146746989061</v>
      </c>
      <c r="E75" s="8">
        <v>23.60066014546311</v>
      </c>
      <c r="F75" s="8">
        <v>23.015681506522753</v>
      </c>
      <c r="G75" s="8">
        <v>22.608708867065559</v>
      </c>
      <c r="H75" s="8">
        <v>22.307612946449069</v>
      </c>
    </row>
    <row r="76" spans="1:8" ht="15.75" thickBot="1" x14ac:dyDescent="0.3">
      <c r="A76" s="12">
        <v>1.48</v>
      </c>
      <c r="B76" s="8">
        <v>30.81092420463699</v>
      </c>
      <c r="C76" s="8">
        <v>26.255562612206006</v>
      </c>
      <c r="D76" s="8">
        <v>24.536900225633531</v>
      </c>
      <c r="E76" s="8">
        <v>23.61075763607414</v>
      </c>
      <c r="F76" s="8">
        <v>23.024108980543076</v>
      </c>
      <c r="G76" s="8">
        <v>22.615980478040285</v>
      </c>
      <c r="H76" s="8">
        <v>22.31403268768338</v>
      </c>
    </row>
    <row r="77" spans="1:8" ht="15.75" thickBot="1" x14ac:dyDescent="0.3">
      <c r="A77" s="12">
        <v>1.5</v>
      </c>
      <c r="B77" s="8">
        <v>30.841871927423313</v>
      </c>
      <c r="C77" s="8">
        <v>26.273109468879682</v>
      </c>
      <c r="D77" s="8">
        <v>24.549514416728584</v>
      </c>
      <c r="E77" s="8">
        <v>23.620745091422179</v>
      </c>
      <c r="F77" s="8">
        <v>23.032444757978567</v>
      </c>
      <c r="G77" s="8">
        <v>22.623173058198745</v>
      </c>
      <c r="H77" s="8">
        <v>22.320382717668792</v>
      </c>
    </row>
    <row r="78" spans="1:8" ht="15.75" thickBot="1" x14ac:dyDescent="0.3">
      <c r="A78" s="12">
        <v>1.52</v>
      </c>
      <c r="B78" s="8">
        <v>30.872482340089846</v>
      </c>
      <c r="C78" s="8">
        <v>26.290466559241565</v>
      </c>
      <c r="D78" s="8">
        <v>24.561992683625078</v>
      </c>
      <c r="E78" s="8">
        <v>23.630625164400385</v>
      </c>
      <c r="F78" s="8">
        <v>23.040691047203836</v>
      </c>
      <c r="G78" s="8">
        <v>22.630288509347565</v>
      </c>
      <c r="H78" s="8">
        <v>22.326664712888146</v>
      </c>
    </row>
    <row r="79" spans="1:8" ht="15.75" thickBot="1" x14ac:dyDescent="0.3">
      <c r="A79" s="12">
        <v>1.54</v>
      </c>
      <c r="B79" s="8">
        <v>30.902763540799981</v>
      </c>
      <c r="C79" s="8">
        <v>26.307638416443581</v>
      </c>
      <c r="D79" s="8">
        <v>24.57433826525596</v>
      </c>
      <c r="E79" s="8">
        <v>23.640400409883796</v>
      </c>
      <c r="F79" s="8">
        <v>23.048849975068777</v>
      </c>
      <c r="G79" s="8">
        <v>22.637328663130972</v>
      </c>
      <c r="H79" s="8">
        <v>22.332880288005981</v>
      </c>
    </row>
    <row r="80" spans="1:8" ht="15.75" thickBot="1" x14ac:dyDescent="0.3">
      <c r="A80" s="12">
        <v>1.56</v>
      </c>
      <c r="B80" s="8">
        <v>30.932723330392548</v>
      </c>
      <c r="C80" s="8">
        <v>26.3246294078088</v>
      </c>
      <c r="D80" s="8">
        <v>24.586554282293889</v>
      </c>
      <c r="E80" s="8">
        <v>23.650073289575516</v>
      </c>
      <c r="F80" s="8">
        <v>23.056923590926544</v>
      </c>
      <c r="G80" s="8">
        <v>22.644295284495513</v>
      </c>
      <c r="H80" s="8">
        <v>22.339030998919725</v>
      </c>
    </row>
    <row r="81" spans="1:8" ht="15.75" thickBot="1" x14ac:dyDescent="0.3">
      <c r="A81" s="12">
        <v>1.58</v>
      </c>
      <c r="B81" s="8">
        <v>30.962369226970793</v>
      </c>
      <c r="C81" s="8">
        <v>26.34144374294516</v>
      </c>
      <c r="D81" s="8">
        <v>24.598643742928516</v>
      </c>
      <c r="E81" s="8">
        <v>23.659646176554133</v>
      </c>
      <c r="F81" s="8">
        <v>23.064913870412965</v>
      </c>
      <c r="G81" s="8">
        <v>22.651190074941212</v>
      </c>
      <c r="H81" s="8">
        <v>22.345118345623291</v>
      </c>
    </row>
    <row r="82" spans="1:8" ht="15.75" thickBot="1" x14ac:dyDescent="0.3">
      <c r="A82" s="12">
        <v>1.6</v>
      </c>
      <c r="B82" s="8">
        <v>30.991708479600447</v>
      </c>
      <c r="C82" s="8">
        <v>26.358085481365208</v>
      </c>
      <c r="D82" s="8">
        <v>24.610609548292814</v>
      </c>
      <c r="E82" s="8">
        <v>23.669121359544761</v>
      </c>
      <c r="F82" s="8">
        <v>23.072822718996974</v>
      </c>
      <c r="G82" s="8">
        <v>22.658014675575487</v>
      </c>
      <c r="H82" s="8">
        <v>22.351143774896457</v>
      </c>
    </row>
    <row r="83" spans="1:8" ht="15.75" thickBot="1" x14ac:dyDescent="0.3">
      <c r="A83" s="12">
        <v>1.62</v>
      </c>
      <c r="B83" s="8">
        <v>31.020748081180898</v>
      </c>
      <c r="C83" s="8">
        <v>26.374558539646898</v>
      </c>
      <c r="D83" s="8">
        <v>24.622454497562615</v>
      </c>
      <c r="E83" s="8">
        <v>23.678501046932922</v>
      </c>
      <c r="F83" s="8">
        <v>23.080651975316869</v>
      </c>
      <c r="G83" s="8">
        <v>22.664770669983398</v>
      </c>
      <c r="H83" s="8">
        <v>22.357108682833257</v>
      </c>
    </row>
    <row r="84" spans="1:8" ht="15.75" thickBot="1" x14ac:dyDescent="0.3">
      <c r="A84" s="12">
        <v>1.6400000000000001</v>
      </c>
      <c r="B84" s="8">
        <v>31.049494780549821</v>
      </c>
      <c r="C84" s="8">
        <v>26.390866698168509</v>
      </c>
      <c r="D84" s="8">
        <v>24.634181292753567</v>
      </c>
      <c r="E84" s="8">
        <v>23.687787370541173</v>
      </c>
      <c r="F84" s="8">
        <v>23.088403414319885</v>
      </c>
      <c r="G84" s="8">
        <v>22.671459586928222</v>
      </c>
      <c r="H84" s="8">
        <v>22.36301441722037</v>
      </c>
    </row>
    <row r="85" spans="1:8" ht="15.75" thickBot="1" x14ac:dyDescent="0.3">
      <c r="A85" s="12">
        <v>1.6600000000000001</v>
      </c>
      <c r="B85" s="8">
        <v>31.077955093875232</v>
      </c>
      <c r="C85" s="8">
        <v>26.407013607448221</v>
      </c>
      <c r="D85" s="8">
        <v>24.645792543236666</v>
      </c>
      <c r="E85" s="8">
        <v>23.696982389183574</v>
      </c>
      <c r="F85" s="8">
        <v>23.096078750217032</v>
      </c>
      <c r="G85" s="8">
        <v>22.678082902893664</v>
      </c>
      <c r="H85" s="8">
        <v>22.368862279776295</v>
      </c>
    </row>
    <row r="86" spans="1:8" ht="15.75" thickBot="1" x14ac:dyDescent="0.3">
      <c r="A86" s="12">
        <v>1.68</v>
      </c>
      <c r="B86" s="8">
        <v>31.106135315384904</v>
      </c>
      <c r="C86" s="8">
        <v>26.42300279411586</v>
      </c>
      <c r="D86" s="8">
        <v>24.657290769992358</v>
      </c>
      <c r="E86" s="8">
        <v>23.706088092015079</v>
      </c>
      <c r="F86" s="8">
        <v>23.103679639267284</v>
      </c>
      <c r="G86" s="8">
        <v>22.684642044479176</v>
      </c>
      <c r="H86" s="8">
        <v>22.374653528261263</v>
      </c>
    </row>
    <row r="87" spans="1:8" ht="15.75" thickBot="1" x14ac:dyDescent="0.3">
      <c r="A87" s="12">
        <v>1.7</v>
      </c>
      <c r="B87" s="8">
        <v>31.134041527479326</v>
      </c>
      <c r="C87" s="8">
        <v>26.438837666542213</v>
      </c>
      <c r="D87" s="8">
        <v>24.668678409620611</v>
      </c>
      <c r="E87" s="8">
        <v>23.715106401688558</v>
      </c>
      <c r="F87" s="8">
        <v>23.111207682402551</v>
      </c>
      <c r="G87" s="8">
        <v>22.691138390658239</v>
      </c>
      <c r="H87" s="8">
        <v>22.380389378466532</v>
      </c>
    </row>
    <row r="88" spans="1:8" ht="15.75" thickBot="1" x14ac:dyDescent="0.3">
      <c r="A88" s="12">
        <v>1.72</v>
      </c>
      <c r="B88" s="8">
        <v>31.161679610270539</v>
      </c>
      <c r="C88" s="8">
        <v>26.454521520149513</v>
      </c>
      <c r="D88" s="8">
        <v>24.679957818124421</v>
      </c>
      <c r="E88" s="8">
        <v>23.724039177333964</v>
      </c>
      <c r="F88" s="8">
        <v>23.118664427704346</v>
      </c>
      <c r="G88" s="8">
        <v>22.697573274909018</v>
      </c>
      <c r="H88" s="8">
        <v>22.386071006091015</v>
      </c>
    </row>
    <row r="89" spans="1:8" ht="15.75" thickBot="1" x14ac:dyDescent="0.3">
      <c r="A89" s="12">
        <v>1.74</v>
      </c>
      <c r="B89" s="8">
        <v>31.189055250585398</v>
      </c>
      <c r="C89" s="8">
        <v>26.470057542424058</v>
      </c>
      <c r="D89" s="8">
        <v>24.691131274481563</v>
      </c>
      <c r="E89" s="8">
        <v>23.732888217370601</v>
      </c>
      <c r="F89" s="8">
        <v>23.126051372741983</v>
      </c>
      <c r="G89" s="8">
        <v>22.703947987226513</v>
      </c>
      <c r="H89" s="8">
        <v>22.391699548513827</v>
      </c>
    </row>
    <row r="90" spans="1:8" ht="15.75" thickBot="1" x14ac:dyDescent="0.3">
      <c r="A90" s="12">
        <v>1.76</v>
      </c>
      <c r="B90" s="8">
        <v>31.21617395046917</v>
      </c>
      <c r="C90" s="8">
        <v>26.48544881765207</v>
      </c>
      <c r="D90" s="8">
        <v>24.702200984018873</v>
      </c>
      <c r="E90" s="8">
        <v>23.741655262164272</v>
      </c>
      <c r="F90" s="8">
        <v>23.13336996678197</v>
      </c>
      <c r="G90" s="8">
        <v>22.710263776023055</v>
      </c>
      <c r="H90" s="8">
        <v>22.39727610646861</v>
      </c>
    </row>
    <row r="91" spans="1:8" ht="15.75" thickBot="1" x14ac:dyDescent="0.3">
      <c r="A91" s="12">
        <v>1.78</v>
      </c>
      <c r="B91" s="8">
        <v>31.243041035223087</v>
      </c>
      <c r="C91" s="8">
        <v>26.500698331395711</v>
      </c>
      <c r="D91" s="8">
        <v>24.713169081602018</v>
      </c>
      <c r="E91" s="8">
        <v>23.750341996538964</v>
      </c>
      <c r="F91" s="8">
        <v>23.140621612876259</v>
      </c>
      <c r="G91" s="8">
        <v>22.716521849925641</v>
      </c>
      <c r="H91" s="8">
        <v>22.402801745626277</v>
      </c>
    </row>
    <row r="92" spans="1:8" ht="15.75" thickBot="1" x14ac:dyDescent="0.3">
      <c r="A92" s="12">
        <v>1.8</v>
      </c>
      <c r="B92" s="8">
        <v>31.2696616610055</v>
      </c>
      <c r="C92" s="8">
        <v>26.515808974727406</v>
      </c>
      <c r="D92" s="8">
        <v>24.724037634653087</v>
      </c>
      <c r="E92" s="8">
        <v>23.758950052153523</v>
      </c>
      <c r="F92" s="8">
        <v>23.147807669838528</v>
      </c>
      <c r="G92" s="8">
        <v>22.722723379475951</v>
      </c>
      <c r="H92" s="8">
        <v>22.408277498093355</v>
      </c>
    </row>
    <row r="93" spans="1:8" ht="15.75" thickBot="1" x14ac:dyDescent="0.3">
      <c r="A93" s="12">
        <v>1.82</v>
      </c>
      <c r="B93" s="8">
        <v>31.296040822025816</v>
      </c>
      <c r="C93" s="8">
        <v>26.530783548236968</v>
      </c>
      <c r="D93" s="8">
        <v>24.734808646006684</v>
      </c>
      <c r="E93" s="8">
        <v>23.767481009750497</v>
      </c>
      <c r="F93" s="8">
        <v>23.154929454114267</v>
      </c>
      <c r="G93" s="8">
        <v>22.728869498739698</v>
      </c>
      <c r="H93" s="8">
        <v>22.413704363829254</v>
      </c>
    </row>
    <row r="94" spans="1:8" ht="15.75" thickBot="1" x14ac:dyDescent="0.3">
      <c r="A94" s="12">
        <v>1.84</v>
      </c>
      <c r="B94" s="8">
        <v>31.322183357356266</v>
      </c>
      <c r="C94" s="8">
        <v>26.545624765827199</v>
      </c>
      <c r="D94" s="8">
        <v>24.745484056615055</v>
      </c>
      <c r="E94" s="8">
        <v>23.775936401287197</v>
      </c>
      <c r="F94" s="8">
        <v>23.161988241552763</v>
      </c>
      <c r="G94" s="8">
        <v>22.734961306831337</v>
      </c>
      <c r="H94" s="8">
        <v>22.419083311989539</v>
      </c>
    </row>
    <row r="95" spans="1:8" ht="15.75" thickBot="1" x14ac:dyDescent="0.3">
      <c r="A95" s="12">
        <v>1.86</v>
      </c>
      <c r="B95" s="8">
        <v>31.348093957386538</v>
      </c>
      <c r="C95" s="8">
        <v>26.560335258310488</v>
      </c>
      <c r="D95" s="8">
        <v>24.75606574811178</v>
      </c>
      <c r="E95" s="8">
        <v>23.784317711954486</v>
      </c>
      <c r="F95" s="8">
        <v>23.168985269085795</v>
      </c>
      <c r="G95" s="8">
        <v>22.74099986935903</v>
      </c>
      <c r="H95" s="8">
        <v>22.42441528219905</v>
      </c>
    </row>
    <row r="96" spans="1:8" ht="15.75" thickBot="1" x14ac:dyDescent="0.3">
      <c r="A96" s="12">
        <v>1.8800000000000001</v>
      </c>
      <c r="B96" s="8">
        <v>31.373777169943651</v>
      </c>
      <c r="C96" s="8">
        <v>26.574917576819075</v>
      </c>
      <c r="D96" s="8">
        <v>24.766555545243079</v>
      </c>
      <c r="E96" s="8">
        <v>23.79262638209201</v>
      </c>
      <c r="F96" s="8">
        <v>23.175921736320731</v>
      </c>
      <c r="G96" s="8">
        <v>22.746986219794678</v>
      </c>
      <c r="H96" s="8">
        <v>22.429701185758915</v>
      </c>
    </row>
    <row r="97" spans="1:8" ht="15.75" thickBot="1" x14ac:dyDescent="0.3">
      <c r="A97" s="12">
        <v>1.9000000000000001</v>
      </c>
      <c r="B97" s="8">
        <v>31.399237406096859</v>
      </c>
      <c r="C97" s="8">
        <v>26.589374196040808</v>
      </c>
      <c r="D97" s="8">
        <v>24.77695521817418</v>
      </c>
      <c r="E97" s="8">
        <v>23.800863809004795</v>
      </c>
      <c r="F97" s="8">
        <v>23.182798807050858</v>
      </c>
      <c r="G97" s="8">
        <v>22.752921360774565</v>
      </c>
      <c r="H97" s="8">
        <v>22.434941906792346</v>
      </c>
    </row>
    <row r="98" spans="1:8" ht="15.75" thickBot="1" x14ac:dyDescent="0.3">
      <c r="A98" s="12">
        <v>1.92</v>
      </c>
      <c r="B98" s="8">
        <v>31.424478945668</v>
      </c>
      <c r="C98" s="8">
        <v>26.603707517290616</v>
      </c>
      <c r="D98" s="8">
        <v>24.787266484679492</v>
      </c>
      <c r="E98" s="8">
        <v>23.80903134868862</v>
      </c>
      <c r="F98" s="8">
        <v>23.189617610690561</v>
      </c>
      <c r="G98" s="8">
        <v>22.758806265333874</v>
      </c>
      <c r="H98" s="8">
        <v>22.440138303332162</v>
      </c>
    </row>
    <row r="99" spans="1:8" ht="15.75" thickBot="1" x14ac:dyDescent="0.3">
      <c r="A99" s="12">
        <v>1.94</v>
      </c>
      <c r="B99" s="8">
        <v>31.449505942464953</v>
      </c>
      <c r="C99" s="8">
        <v>26.617919871428171</v>
      </c>
      <c r="D99" s="8">
        <v>24.797491012222736</v>
      </c>
      <c r="E99" s="8">
        <v>23.817130317468411</v>
      </c>
      <c r="F99" s="8">
        <v>23.196379243637864</v>
      </c>
      <c r="G99" s="8">
        <v>22.764641878079544</v>
      </c>
      <c r="H99" s="8">
        <v>22.445291208354547</v>
      </c>
    </row>
    <row r="100" spans="1:8" ht="15.75" thickBot="1" x14ac:dyDescent="0.3">
      <c r="A100" s="12">
        <v>1.96</v>
      </c>
      <c r="B100" s="8">
        <v>31.474322429253959</v>
      </c>
      <c r="C100" s="8">
        <v>26.632013521630086</v>
      </c>
      <c r="D100" s="8">
        <v>24.80763041993356</v>
      </c>
      <c r="E100" s="8">
        <v>23.825161993555639</v>
      </c>
      <c r="F100" s="8">
        <v>23.203084770569887</v>
      </c>
      <c r="G100" s="8">
        <v>22.770429116304854</v>
      </c>
      <c r="H100" s="8">
        <v>22.450401430760678</v>
      </c>
    </row>
    <row r="101" spans="1:8" ht="15.75" thickBot="1" x14ac:dyDescent="0.3">
      <c r="A101" s="12">
        <v>1.98</v>
      </c>
      <c r="B101" s="8">
        <v>31.498932322487633</v>
      </c>
      <c r="C101" s="8">
        <v>26.645990666026648</v>
      </c>
      <c r="D101" s="8">
        <v>24.817686280487862</v>
      </c>
      <c r="E101" s="8">
        <v>23.833127618529545</v>
      </c>
      <c r="F101" s="8">
        <v>23.209735225674592</v>
      </c>
      <c r="G101" s="8">
        <v>22.77616887104989</v>
      </c>
      <c r="H101" s="8">
        <v>22.455469756311231</v>
      </c>
    </row>
    <row r="102" spans="1:8" ht="15.75" thickBot="1" x14ac:dyDescent="0.3">
      <c r="A102" s="12">
        <v>2</v>
      </c>
      <c r="B102" s="8">
        <v>31.523339426802011</v>
      </c>
      <c r="C102" s="8">
        <v>26.659853440209474</v>
      </c>
      <c r="D102" s="8">
        <v>24.827660121896258</v>
      </c>
      <c r="E102" s="8">
        <v>23.841028398746175</v>
      </c>
      <c r="F102" s="8">
        <v>23.216331613822888</v>
      </c>
      <c r="G102" s="8">
        <v>22.781862008110124</v>
      </c>
      <c r="H102" s="8">
        <v>22.460496948515129</v>
      </c>
    </row>
    <row r="103" spans="1:8" ht="15.75" thickBot="1" x14ac:dyDescent="0.3">
      <c r="A103" s="12">
        <v>2.02</v>
      </c>
      <c r="B103" s="8">
        <v>31.547547439296693</v>
      </c>
      <c r="C103" s="8">
        <v>26.673603919618927</v>
      </c>
      <c r="D103" s="8">
        <v>24.837553429206423</v>
      </c>
      <c r="E103" s="8">
        <v>23.848865506679658</v>
      </c>
      <c r="F103" s="8">
        <v>23.222874911684357</v>
      </c>
      <c r="G103" s="8">
        <v>22.787509368996723</v>
      </c>
      <c r="H103" s="8">
        <v>22.465483749475368</v>
      </c>
    </row>
    <row r="104" spans="1:8" ht="15.75" thickBot="1" x14ac:dyDescent="0.3">
      <c r="A104" s="12">
        <v>2.04</v>
      </c>
      <c r="B104" s="8">
        <v>31.571559953610404</v>
      </c>
      <c r="C104" s="8">
        <v>26.687244121817571</v>
      </c>
      <c r="D104" s="8">
        <v>24.84736764612461</v>
      </c>
      <c r="E104" s="8">
        <v>23.856640082199874</v>
      </c>
      <c r="F104" s="8">
        <v>23.229366068789886</v>
      </c>
      <c r="G104" s="8">
        <v>22.793111771850988</v>
      </c>
      <c r="H104" s="8">
        <v>22.470430880695176</v>
      </c>
    </row>
    <row r="105" spans="1:8" ht="15.75" thickBot="1" x14ac:dyDescent="0.3">
      <c r="A105" s="12">
        <v>2.06</v>
      </c>
      <c r="B105" s="8">
        <v>31.595380463803451</v>
      </c>
      <c r="C105" s="8">
        <v>26.700776008655964</v>
      </c>
      <c r="D105" s="8">
        <v>24.857104176560654</v>
      </c>
      <c r="E105" s="8">
        <v>23.8643532337897</v>
      </c>
      <c r="F105" s="8">
        <v>23.235806008544273</v>
      </c>
      <c r="G105" s="8">
        <v>22.798670012316222</v>
      </c>
      <c r="H105" s="8">
        <v>22.47533904384602</v>
      </c>
    </row>
    <row r="106" spans="1:8" ht="15.75" thickBot="1" x14ac:dyDescent="0.3">
      <c r="A106" s="12">
        <v>2.08</v>
      </c>
      <c r="B106" s="8">
        <v>31.619012368058293</v>
      </c>
      <c r="C106" s="8">
        <v>26.714201488337494</v>
      </c>
      <c r="D106" s="8">
        <v>24.86676438610067</v>
      </c>
      <c r="E106" s="8">
        <v>23.872006039705525</v>
      </c>
      <c r="F106" s="8">
        <v>23.242195629191713</v>
      </c>
      <c r="G106" s="8">
        <v>22.804184864368438</v>
      </c>
      <c r="H106" s="8">
        <v>22.480208921499411</v>
      </c>
    </row>
    <row r="107" spans="1:8" ht="15.75" thickBot="1" x14ac:dyDescent="0.3">
      <c r="A107" s="12">
        <v>2.1</v>
      </c>
      <c r="B107" s="8">
        <v>31.642458972208487</v>
      </c>
      <c r="C107" s="8">
        <v>26.727522417387434</v>
      </c>
      <c r="D107" s="8">
        <v>24.876349603411597</v>
      </c>
      <c r="E107" s="8">
        <v>23.879599549084105</v>
      </c>
      <c r="F107" s="8">
        <v>23.248535804736321</v>
      </c>
      <c r="G107" s="8">
        <v>22.809657081108924</v>
      </c>
      <c r="H107" s="8">
        <v>22.485041177825735</v>
      </c>
    </row>
    <row r="108" spans="1:8" ht="15.75" thickBot="1" x14ac:dyDescent="0.3">
      <c r="A108" s="12">
        <v>2.12</v>
      </c>
      <c r="B108" s="8">
        <v>31.66572349310519</v>
      </c>
      <c r="C108" s="8">
        <v>26.740740602531616</v>
      </c>
      <c r="D108" s="8">
        <v>24.885861121581684</v>
      </c>
      <c r="E108" s="8">
        <v>23.887134782998714</v>
      </c>
      <c r="F108" s="8">
        <v>23.254827385821102</v>
      </c>
      <c r="G108" s="8">
        <v>22.81508739552055</v>
      </c>
      <c r="H108" s="8">
        <v>22.489836459260403</v>
      </c>
    </row>
    <row r="109" spans="1:8" ht="15.75" thickBot="1" x14ac:dyDescent="0.3">
      <c r="A109" s="12">
        <v>2.14</v>
      </c>
      <c r="B109" s="8">
        <v>31.688809061830341</v>
      </c>
      <c r="C109" s="8">
        <v>26.753857802489904</v>
      </c>
      <c r="D109" s="8">
        <v>24.895300199399799</v>
      </c>
      <c r="E109" s="8">
        <v>23.894612735467547</v>
      </c>
      <c r="F109" s="8">
        <v>23.261071200566334</v>
      </c>
      <c r="G109" s="8">
        <v>22.820476521189846</v>
      </c>
      <c r="H109" s="8">
        <v>22.494595395140038</v>
      </c>
    </row>
    <row r="110" spans="1:8" ht="15.75" thickBot="1" x14ac:dyDescent="0.3">
      <c r="A110" s="12">
        <v>2.16</v>
      </c>
      <c r="B110" s="8">
        <v>31.711718726764786</v>
      </c>
      <c r="C110" s="8">
        <v>26.766875729688707</v>
      </c>
      <c r="D110" s="8">
        <v>24.90466806257723</v>
      </c>
      <c r="E110" s="8">
        <v>23.902034374416473</v>
      </c>
      <c r="F110" s="8">
        <v>23.267268055371119</v>
      </c>
      <c r="G110" s="8">
        <v>22.825825152996515</v>
      </c>
      <c r="H110" s="8">
        <v>22.499318598310424</v>
      </c>
    </row>
    <row r="111" spans="1:8" ht="15.75" thickBot="1" x14ac:dyDescent="0.3">
      <c r="A111" s="12">
        <v>2.1800000000000002</v>
      </c>
      <c r="B111" s="8">
        <v>31.73445545651964</v>
      </c>
      <c r="C111" s="8">
        <v>26.779796051897392</v>
      </c>
      <c r="D111" s="8">
        <v>24.913965904915358</v>
      </c>
      <c r="E111" s="8">
        <v>23.909400642599337</v>
      </c>
      <c r="F111" s="8">
        <v>23.273418735678547</v>
      </c>
      <c r="G111" s="8">
        <v>22.831133967772473</v>
      </c>
      <c r="H111" s="8">
        <v>22.504006665706981</v>
      </c>
    </row>
    <row r="112" spans="1:8" ht="15.75" thickBot="1" x14ac:dyDescent="0.3">
      <c r="A112" s="12">
        <v>2.2000000000000002</v>
      </c>
      <c r="B112" s="8">
        <v>31.757022142737071</v>
      </c>
      <c r="C112" s="8">
        <v>26.792620393791822</v>
      </c>
      <c r="D112" s="8">
        <v>24.923194889421552</v>
      </c>
      <c r="E112" s="8">
        <v>23.916712458477434</v>
      </c>
      <c r="F112" s="8">
        <v>23.279524006707732</v>
      </c>
      <c r="G112" s="8">
        <v>22.83640362493162</v>
      </c>
      <c r="H112" s="8">
        <v>22.508660178909849</v>
      </c>
    </row>
    <row r="113" spans="1:8" ht="15.75" thickBot="1" x14ac:dyDescent="0.3">
      <c r="A113" s="12">
        <v>2.2200000000000002</v>
      </c>
      <c r="B113" s="8">
        <v>31.779421602769048</v>
      </c>
      <c r="C113" s="8">
        <v>26.805350338450296</v>
      </c>
      <c r="D113" s="8">
        <v>24.932356149376176</v>
      </c>
      <c r="E113" s="8">
        <v>23.923970717060399</v>
      </c>
      <c r="F113" s="8">
        <v>23.285584614153322</v>
      </c>
      <c r="G113" s="8">
        <v>22.841634767072492</v>
      </c>
      <c r="H113" s="8">
        <v>22.513279704674915</v>
      </c>
    </row>
    <row r="114" spans="1:8" ht="15.75" thickBot="1" x14ac:dyDescent="0.3">
      <c r="A114" s="12">
        <v>2.2400000000000002</v>
      </c>
      <c r="B114" s="8">
        <v>31.801656582238763</v>
      </c>
      <c r="C114" s="8">
        <v>26.817987428783624</v>
      </c>
      <c r="D114" s="8">
        <v>24.941450789353439</v>
      </c>
      <c r="E114" s="8">
        <v>23.931176290711221</v>
      </c>
      <c r="F114" s="8">
        <v>23.291601284855062</v>
      </c>
      <c r="G114" s="8">
        <v>22.846828020554199</v>
      </c>
      <c r="H114" s="8">
        <v>22.517865795441594</v>
      </c>
    </row>
    <row r="115" spans="1:8" ht="15.75" thickBot="1" x14ac:dyDescent="0.3">
      <c r="A115" s="12">
        <v>2.2600000000000002</v>
      </c>
      <c r="B115" s="8">
        <v>31.823729757492231</v>
      </c>
      <c r="C115" s="8">
        <v>26.830533168904424</v>
      </c>
      <c r="D115" s="8">
        <v>24.95047988619865</v>
      </c>
      <c r="E115" s="8">
        <v>23.93833002991596</v>
      </c>
      <c r="F115" s="8">
        <v>23.297574727438757</v>
      </c>
      <c r="G115" s="8">
        <v>22.851983996048489</v>
      </c>
      <c r="H115" s="8">
        <v>22.522418989819016</v>
      </c>
    </row>
    <row r="116" spans="1:8" ht="15.75" thickBot="1" x14ac:dyDescent="0.3">
      <c r="A116" s="12">
        <v>2.2800000000000002</v>
      </c>
      <c r="B116" s="8">
        <v>31.845643737944727</v>
      </c>
      <c r="C116" s="8">
        <v>26.842989025437589</v>
      </c>
      <c r="D116" s="8">
        <v>24.959444489963403</v>
      </c>
      <c r="E116" s="8">
        <v>23.945432764021348</v>
      </c>
      <c r="F116" s="8">
        <v>23.3035056329295</v>
      </c>
      <c r="G116" s="8">
        <v>22.857103289067538</v>
      </c>
      <c r="H116" s="8">
        <v>22.526939813051342</v>
      </c>
    </row>
    <row r="117" spans="1:8" ht="15.75" thickBot="1" x14ac:dyDescent="0.3">
      <c r="A117" s="12">
        <v>2.3000000000000003</v>
      </c>
      <c r="B117" s="8">
        <v>31.867401068328206</v>
      </c>
      <c r="C117" s="8">
        <v>26.855356428775735</v>
      </c>
      <c r="D117" s="8">
        <v>24.968345624801486</v>
      </c>
      <c r="E117" s="8">
        <v>23.952485301940897</v>
      </c>
      <c r="F117" s="8">
        <v>23.30939467533949</v>
      </c>
      <c r="G117" s="8">
        <v>22.862186480470086</v>
      </c>
      <c r="H117" s="8">
        <v>22.53142877746393</v>
      </c>
    </row>
    <row r="118" spans="1:8" ht="15.75" thickBot="1" x14ac:dyDescent="0.3">
      <c r="A118" s="12">
        <v>2.3199999999999998</v>
      </c>
      <c r="B118" s="8">
        <v>31.889004230843852</v>
      </c>
      <c r="C118" s="8">
        <v>26.86763677428155</v>
      </c>
      <c r="D118" s="8">
        <v>24.977184289827505</v>
      </c>
      <c r="E118" s="8">
        <v>23.95948843283179</v>
      </c>
      <c r="F118" s="8">
        <v>23.31524251223118</v>
      </c>
      <c r="G118" s="8">
        <v>22.867234136946195</v>
      </c>
      <c r="H118" s="8">
        <v>22.535886382890169</v>
      </c>
    </row>
    <row r="119" spans="1:8" ht="15.75" thickBot="1" x14ac:dyDescent="0.3">
      <c r="A119" s="12">
        <v>2.34</v>
      </c>
      <c r="B119" s="8">
        <v>31.910455647225774</v>
      </c>
      <c r="C119" s="8">
        <v>26.879831423440805</v>
      </c>
      <c r="D119" s="8">
        <v>24.985961459939574</v>
      </c>
      <c r="E119" s="8">
        <v>23.966442926743241</v>
      </c>
      <c r="F119" s="8">
        <v>23.321049785256776</v>
      </c>
      <c r="G119" s="8">
        <v>22.872246811481773</v>
      </c>
      <c r="H119" s="8">
        <v>22.540313117081439</v>
      </c>
    </row>
    <row r="120" spans="1:8" ht="15.75" thickBot="1" x14ac:dyDescent="0.3">
      <c r="A120" s="12">
        <v>2.36</v>
      </c>
      <c r="B120" s="8">
        <v>31.931757680718817</v>
      </c>
      <c r="C120" s="8">
        <v>26.891941704967678</v>
      </c>
      <c r="D120" s="8">
        <v>24.994678086608303</v>
      </c>
      <c r="E120" s="8">
        <v>23.973349535238754</v>
      </c>
      <c r="F120" s="8">
        <v>23.326817120676083</v>
      </c>
      <c r="G120" s="8">
        <v>22.877225043804515</v>
      </c>
      <c r="H120" s="8">
        <v>22.544709456099611</v>
      </c>
    </row>
    <row r="121" spans="1:8" ht="15.75" thickBot="1" x14ac:dyDescent="0.3">
      <c r="A121" s="12">
        <v>2.38</v>
      </c>
      <c r="B121" s="8">
        <v>31.952912637975828</v>
      </c>
      <c r="C121" s="8">
        <v>26.903968915864482</v>
      </c>
      <c r="D121" s="8">
        <v>25.00333509863367</v>
      </c>
      <c r="E121" s="8">
        <v>23.980208991992811</v>
      </c>
      <c r="F121" s="8">
        <v>23.332545129853088</v>
      </c>
      <c r="G121" s="8">
        <v>22.882169360811076</v>
      </c>
      <c r="H121" s="8">
        <v>22.549075864693862</v>
      </c>
    </row>
    <row r="122" spans="1:8" ht="15.75" thickBot="1" x14ac:dyDescent="0.3">
      <c r="A122" s="12">
        <v>2.4</v>
      </c>
      <c r="B122" s="8">
        <v>31.973922770878062</v>
      </c>
      <c r="C122" s="8">
        <v>26.915914322439278</v>
      </c>
      <c r="D122" s="8">
        <v>25.011933402871307</v>
      </c>
      <c r="E122" s="8">
        <v>23.98702201336323</v>
      </c>
      <c r="F122" s="8">
        <v>23.338234409732195</v>
      </c>
      <c r="G122" s="8">
        <v>22.887080276977429</v>
      </c>
      <c r="H122" s="8">
        <v>22.553412796662258</v>
      </c>
    </row>
    <row r="123" spans="1:8" ht="15.75" thickBot="1" x14ac:dyDescent="0.3">
      <c r="A123" s="12">
        <v>2.42</v>
      </c>
      <c r="B123" s="8">
        <v>31.994790278281812</v>
      </c>
      <c r="C123" s="8">
        <v>26.927779161282103</v>
      </c>
      <c r="D123" s="8">
        <v>25.020473884929459</v>
      </c>
      <c r="E123" s="8">
        <v>23.993789298940783</v>
      </c>
      <c r="F123" s="8">
        <v>23.343885543295642</v>
      </c>
      <c r="G123" s="8">
        <v>22.89195829475284</v>
      </c>
      <c r="H123" s="8">
        <v>22.557720695198782</v>
      </c>
    </row>
    <row r="124" spans="1:8" ht="15.75" thickBot="1" x14ac:dyDescent="0.3">
      <c r="A124" s="12">
        <v>2.44</v>
      </c>
      <c r="B124" s="8">
        <v>32.015517307695973</v>
      </c>
      <c r="C124" s="8">
        <v>26.939564640202605</v>
      </c>
      <c r="D124" s="8">
        <v>25.02895740983837</v>
      </c>
      <c r="E124" s="8">
        <v>24.000511532077326</v>
      </c>
      <c r="F124" s="8">
        <v>23.349499100002902</v>
      </c>
      <c r="G124" s="8">
        <v>22.896803904937713</v>
      </c>
      <c r="H124" s="8">
        <v>22.561999993226891</v>
      </c>
    </row>
    <row r="125" spans="1:8" ht="15.75" thickBot="1" x14ac:dyDescent="0.3">
      <c r="A125" s="12">
        <v>2.46</v>
      </c>
      <c r="B125" s="8">
        <v>32.036105956892868</v>
      </c>
      <c r="C125" s="8">
        <v>26.951271939130322</v>
      </c>
      <c r="D125" s="8">
        <v>25.037384822693411</v>
      </c>
      <c r="E125" s="8">
        <v>24.007189380392333</v>
      </c>
      <c r="F125" s="8">
        <v>23.355075636212462</v>
      </c>
      <c r="G125" s="8">
        <v>22.901617587047156</v>
      </c>
      <c r="H125" s="8">
        <v>22.566251113719318</v>
      </c>
    </row>
    <row r="126" spans="1:8" ht="15.75" thickBot="1" x14ac:dyDescent="0.3">
      <c r="A126" s="12">
        <v>2.48</v>
      </c>
      <c r="B126" s="8">
        <v>32.056558275455757</v>
      </c>
      <c r="C126" s="8">
        <v>26.962902210980076</v>
      </c>
      <c r="D126" s="8">
        <v>25.045756949272629</v>
      </c>
      <c r="E126" s="8">
        <v>24.013823496260159</v>
      </c>
      <c r="F126" s="8">
        <v>23.360615695587342</v>
      </c>
      <c r="G126" s="8">
        <v>22.906399809659831</v>
      </c>
      <c r="H126" s="8">
        <v>22.570474470006104</v>
      </c>
    </row>
    <row r="127" spans="1:8" ht="15.75" thickBot="1" x14ac:dyDescent="0.3">
      <c r="A127" s="12">
        <v>2.5</v>
      </c>
      <c r="B127" s="8">
        <v>32.076876266266424</v>
      </c>
      <c r="C127" s="8">
        <v>26.974456582483469</v>
      </c>
      <c r="D127" s="8">
        <v>25.054074596630983</v>
      </c>
      <c r="E127" s="8">
        <v>24.020414517278653</v>
      </c>
      <c r="F127" s="8">
        <v>23.366119809484758</v>
      </c>
      <c r="G127" s="8">
        <v>22.911151030753786</v>
      </c>
      <c r="H127" s="8">
        <v>22.574670466070074</v>
      </c>
    </row>
    <row r="128" spans="1:8" ht="15.75" thickBot="1" x14ac:dyDescent="0.3">
      <c r="A128" s="12">
        <v>2.52</v>
      </c>
      <c r="B128" s="8">
        <v>32.097061886935023</v>
      </c>
      <c r="C128" s="8">
        <v>26.985936154988565</v>
      </c>
      <c r="D128" s="8">
        <v>25.062338553670884</v>
      </c>
      <c r="E128" s="8">
        <v>24.026963066718793</v>
      </c>
      <c r="F128" s="8">
        <v>23.37158849733072</v>
      </c>
      <c r="G128" s="8">
        <v>22.915871698028866</v>
      </c>
      <c r="H128" s="8">
        <v>22.578839496831677</v>
      </c>
    </row>
    <row r="129" spans="1:8" ht="15.75" thickBot="1" x14ac:dyDescent="0.3">
      <c r="A129" s="12">
        <v>2.54</v>
      </c>
      <c r="B129" s="8">
        <v>32.117117051175342</v>
      </c>
      <c r="C129" s="8">
        <v>26.997342005228859</v>
      </c>
      <c r="D129" s="8">
        <v>25.070549591691758</v>
      </c>
      <c r="E129" s="8">
        <v>24.0334697539584</v>
      </c>
      <c r="F129" s="8">
        <v>23.377022266980816</v>
      </c>
      <c r="G129" s="8">
        <v>22.920562249217255</v>
      </c>
      <c r="H129" s="8">
        <v>22.582981948422002</v>
      </c>
    </row>
    <row r="130" spans="1:8" ht="15.75" thickBot="1" x14ac:dyDescent="0.3">
      <c r="A130" s="12">
        <v>2.56</v>
      </c>
      <c r="B130" s="8">
        <v>32.137043630127494</v>
      </c>
      <c r="C130" s="8">
        <v>27.008675186062931</v>
      </c>
      <c r="D130" s="8">
        <v>25.078708464918179</v>
      </c>
      <c r="E130" s="8">
        <v>24.039935174898233</v>
      </c>
      <c r="F130" s="8">
        <v>23.382421615066789</v>
      </c>
      <c r="G130" s="8">
        <v>22.925223112382184</v>
      </c>
      <c r="H130" s="8">
        <v>22.58709819844654</v>
      </c>
    </row>
    <row r="131" spans="1:8" ht="15.75" thickBot="1" x14ac:dyDescent="0.3">
      <c r="A131" s="12">
        <v>2.58</v>
      </c>
      <c r="B131" s="8">
        <v>32.156843453630927</v>
      </c>
      <c r="C131" s="8">
        <v>27.019936727186689</v>
      </c>
      <c r="D131" s="8">
        <v>25.086815911008443</v>
      </c>
      <c r="E131" s="8">
        <v>24.046359912363528</v>
      </c>
      <c r="F131" s="8">
        <v>23.387787027330262</v>
      </c>
      <c r="G131" s="8">
        <v>22.929854706204992</v>
      </c>
      <c r="H131" s="8">
        <v>22.591188616238185</v>
      </c>
    </row>
    <row r="132" spans="1:8" ht="15.75" thickBot="1" x14ac:dyDescent="0.3">
      <c r="A132" s="12">
        <v>2.6</v>
      </c>
      <c r="B132" s="8">
        <v>32.176518311450025</v>
      </c>
      <c r="C132" s="8">
        <v>27.03112763581845</v>
      </c>
      <c r="D132" s="8">
        <v>25.094872651544222</v>
      </c>
      <c r="E132" s="8">
        <v>24.052744536489627</v>
      </c>
      <c r="F132" s="8">
        <v>23.393118978944244</v>
      </c>
      <c r="G132" s="8">
        <v>22.934457440262236</v>
      </c>
      <c r="H132" s="8">
        <v>22.595253563101267</v>
      </c>
    </row>
    <row r="133" spans="1:8" ht="15.75" thickBot="1" x14ac:dyDescent="0.3">
      <c r="A133" s="12">
        <v>2.62</v>
      </c>
      <c r="B133" s="8">
        <v>32.196069954453492</v>
      </c>
      <c r="C133" s="8">
        <v>27.042248897359229</v>
      </c>
      <c r="D133" s="8">
        <v>25.102879392501734</v>
      </c>
      <c r="E133" s="8">
        <v>24.059089605094073</v>
      </c>
      <c r="F133" s="8">
        <v>23.398417934822589</v>
      </c>
      <c r="G133" s="8">
        <v>22.939031715291947</v>
      </c>
      <c r="H133" s="8">
        <v>22.599293392546429</v>
      </c>
    </row>
    <row r="134" spans="1:8" ht="15.75" thickBot="1" x14ac:dyDescent="0.3">
      <c r="A134" s="12">
        <v>2.64</v>
      </c>
      <c r="B134" s="8">
        <v>32.215500095751054</v>
      </c>
      <c r="C134" s="8">
        <v>27.053301476028253</v>
      </c>
      <c r="D134" s="8">
        <v>25.110836824706098</v>
      </c>
      <c r="E134" s="8">
        <v>24.065395664034554</v>
      </c>
      <c r="F134" s="8">
        <v>23.403684349917967</v>
      </c>
      <c r="G134" s="8">
        <v>22.943577923450562</v>
      </c>
      <c r="H134" s="8">
        <v>22.603308450516977</v>
      </c>
    </row>
    <row r="135" spans="1:8" ht="15.75" thickBot="1" x14ac:dyDescent="0.3">
      <c r="A135" s="12">
        <v>2.66</v>
      </c>
      <c r="B135" s="8">
        <v>32.234810411787976</v>
      </c>
      <c r="C135" s="8">
        <v>27.064286315475556</v>
      </c>
      <c r="D135" s="8">
        <v>25.11874562426874</v>
      </c>
      <c r="E135" s="8">
        <v>24.071663247554284</v>
      </c>
      <c r="F135" s="8">
        <v>23.408918669509262</v>
      </c>
      <c r="G135" s="8">
        <v>22.948096448559909</v>
      </c>
      <c r="H135" s="8">
        <v>22.607299075606932</v>
      </c>
    </row>
    <row r="136" spans="1:8" ht="15.75" thickBot="1" x14ac:dyDescent="0.3">
      <c r="A136" s="12">
        <v>2.68</v>
      </c>
      <c r="B136" s="8">
        <v>32.254002543400418</v>
      </c>
      <c r="C136" s="8">
        <v>27.075204339372249</v>
      </c>
      <c r="D136" s="8">
        <v>25.126606453009117</v>
      </c>
      <c r="E136" s="8">
        <v>24.077892878614136</v>
      </c>
      <c r="F136" s="8">
        <v>23.414121329478348</v>
      </c>
      <c r="G136" s="8">
        <v>22.952587666346176</v>
      </c>
      <c r="H136" s="8">
        <v>22.611265599271121</v>
      </c>
    </row>
    <row r="137" spans="1:8" ht="15.75" thickBot="1" x14ac:dyDescent="0.3">
      <c r="A137" s="12">
        <v>2.7</v>
      </c>
      <c r="B137" s="8">
        <v>32.273078096831966</v>
      </c>
      <c r="C137" s="8">
        <v>27.08605645197963</v>
      </c>
      <c r="D137" s="8">
        <v>25.134419958861429</v>
      </c>
      <c r="E137" s="8">
        <v>24.08408506921387</v>
      </c>
      <c r="F137" s="8">
        <v>23.419292756577192</v>
      </c>
      <c r="G137" s="8">
        <v>22.957051944669274</v>
      </c>
      <c r="H137" s="8">
        <v>22.615208346027998</v>
      </c>
    </row>
    <row r="138" spans="1:8" ht="15.75" thickBot="1" x14ac:dyDescent="0.3">
      <c r="A138" s="12">
        <v>2.72</v>
      </c>
      <c r="B138" s="8">
        <v>32.292038644714864</v>
      </c>
      <c r="C138" s="8">
        <v>27.096843538698181</v>
      </c>
      <c r="D138" s="8">
        <v>25.142186776266556</v>
      </c>
      <c r="E138" s="8">
        <v>24.090240320701071</v>
      </c>
      <c r="F138" s="8">
        <v>23.424433368685129</v>
      </c>
      <c r="G138" s="8">
        <v>22.961489643744983</v>
      </c>
      <c r="H138" s="8">
        <v>22.619127633654841</v>
      </c>
    </row>
    <row r="139" spans="1:8" ht="15.75" thickBot="1" x14ac:dyDescent="0.3">
      <c r="A139" s="12">
        <v>2.74</v>
      </c>
      <c r="B139" s="8">
        <v>32.310885727015261</v>
      </c>
      <c r="C139" s="8">
        <v>27.107566466596495</v>
      </c>
      <c r="D139" s="8">
        <v>25.149907526550123</v>
      </c>
      <c r="E139" s="8">
        <v>24.096359124069522</v>
      </c>
      <c r="F139" s="8">
        <v>23.429543575057266</v>
      </c>
      <c r="G139" s="8">
        <v>22.965901116358566</v>
      </c>
      <c r="H139" s="8">
        <v>22.623023773376531</v>
      </c>
    </row>
    <row r="140" spans="1:8" ht="15.75" thickBot="1" x14ac:dyDescent="0.3">
      <c r="A140" s="12">
        <v>2.7600000000000002</v>
      </c>
      <c r="B140" s="8">
        <v>32.329620851946174</v>
      </c>
      <c r="C140" s="8">
        <v>27.118226084922583</v>
      </c>
      <c r="D140" s="8">
        <v>25.157582818287949</v>
      </c>
      <c r="E140" s="8">
        <v>24.102441960247063</v>
      </c>
      <c r="F140" s="8">
        <v>23.434623776564138</v>
      </c>
      <c r="G140" s="8">
        <v>22.970286708071114</v>
      </c>
      <c r="H140" s="8">
        <v>22.626897070047448</v>
      </c>
    </row>
    <row r="141" spans="1:8" ht="15.75" thickBot="1" x14ac:dyDescent="0.3">
      <c r="A141" s="12">
        <v>2.7800000000000002</v>
      </c>
      <c r="B141" s="8">
        <v>32.348245496847767</v>
      </c>
      <c r="C141" s="8">
        <v>27.12882322559625</v>
      </c>
      <c r="D141" s="8">
        <v>25.165213247657562</v>
      </c>
      <c r="E141" s="8">
        <v>24.108489300373492</v>
      </c>
      <c r="F141" s="8">
        <v>23.439674365922997</v>
      </c>
      <c r="G141" s="8">
        <v>22.974646757419009</v>
      </c>
      <c r="H141" s="8">
        <v>22.630747822326896</v>
      </c>
    </row>
    <row r="142" spans="1:8" ht="15.75" thickBot="1" x14ac:dyDescent="0.3">
      <c r="A142" s="12">
        <v>2.8000000000000003</v>
      </c>
      <c r="B142" s="8">
        <v>32.366761109037554</v>
      </c>
      <c r="C142" s="8">
        <v>27.139358703685218</v>
      </c>
      <c r="D142" s="8">
        <v>25.172799398778807</v>
      </c>
      <c r="E142" s="8">
        <v>24.114501606068814</v>
      </c>
      <c r="F142" s="8">
        <v>23.444695727921157</v>
      </c>
      <c r="G142" s="8">
        <v>22.978981596105939</v>
      </c>
      <c r="H142" s="8">
        <v>22.634576322848773</v>
      </c>
    </row>
    <row r="143" spans="1:8" ht="15.75" thickBot="1" x14ac:dyDescent="0.3">
      <c r="A143" s="12">
        <v>2.82</v>
      </c>
      <c r="B143" s="8">
        <v>32.385169106630826</v>
      </c>
      <c r="C143" s="8">
        <v>27.149833317864591</v>
      </c>
      <c r="D143" s="8">
        <v>25.18034184404172</v>
      </c>
      <c r="E143" s="8">
        <v>24.120479329692046</v>
      </c>
      <c r="F143" s="8">
        <v>23.449688239631485</v>
      </c>
      <c r="G143" s="8">
        <v>22.983291549188777</v>
      </c>
      <c r="H143" s="8">
        <v>22.638382858385398</v>
      </c>
    </row>
    <row r="144" spans="1:8" ht="15.75" thickBot="1" x14ac:dyDescent="0.3">
      <c r="A144" s="12">
        <v>2.84</v>
      </c>
      <c r="B144" s="8">
        <v>32.403470879333554</v>
      </c>
      <c r="C144" s="8">
        <v>27.160247850860458</v>
      </c>
      <c r="D144" s="8">
        <v>25.187841144423885</v>
      </c>
      <c r="E144" s="8">
        <v>24.126422914591444</v>
      </c>
      <c r="F144" s="8">
        <v>23.45465227062067</v>
      </c>
      <c r="G144" s="8">
        <v>22.987576935256925</v>
      </c>
      <c r="H144" s="8">
        <v>22.642167710005253</v>
      </c>
    </row>
    <row r="145" spans="1:8" ht="15.75" thickBot="1" x14ac:dyDescent="0.3">
      <c r="A145" s="12">
        <v>2.86</v>
      </c>
      <c r="B145" s="8">
        <v>32.421667789207675</v>
      </c>
      <c r="C145" s="8">
        <v>27.170603069878723</v>
      </c>
      <c r="D145" s="8">
        <v>25.195297849796873</v>
      </c>
      <c r="E145" s="8">
        <v>24.132332795346429</v>
      </c>
      <c r="F145" s="8">
        <v>23.459588183150629</v>
      </c>
      <c r="G145" s="8">
        <v>22.991838066605567</v>
      </c>
      <c r="H145" s="8">
        <v>22.645931153226286</v>
      </c>
    </row>
    <row r="146" spans="1:8" ht="15.75" thickBot="1" x14ac:dyDescent="0.3">
      <c r="A146" s="12">
        <v>2.88</v>
      </c>
      <c r="B146" s="8">
        <v>32.439761171411078</v>
      </c>
      <c r="C146" s="8">
        <v>27.180899727019266</v>
      </c>
      <c r="D146" s="8">
        <v>25.202712499221946</v>
      </c>
      <c r="E146" s="8">
        <v>24.138209398000868</v>
      </c>
      <c r="F146" s="8">
        <v>23.46449633237296</v>
      </c>
      <c r="G146" s="8">
        <v>22.996075249403134</v>
      </c>
      <c r="H146" s="8">
        <v>22.649673458163079</v>
      </c>
    </row>
    <row r="147" spans="1:8" ht="15.75" thickBot="1" x14ac:dyDescent="0.3">
      <c r="A147" s="12">
        <v>2.9</v>
      </c>
      <c r="B147" s="8">
        <v>32.457752334912584</v>
      </c>
      <c r="C147" s="8">
        <v>27.191138559676517</v>
      </c>
      <c r="D147" s="8">
        <v>25.210085621236658</v>
      </c>
      <c r="E147" s="8">
        <v>24.144053140288975</v>
      </c>
      <c r="F147" s="8">
        <v>23.469377066516529</v>
      </c>
      <c r="G147" s="8">
        <v>23.000288783853421</v>
      </c>
      <c r="H147" s="8">
        <v>22.653394889670096</v>
      </c>
    </row>
    <row r="148" spans="1:8" ht="15.75" thickBot="1" x14ac:dyDescent="0.3">
      <c r="A148" s="12">
        <v>2.92</v>
      </c>
      <c r="B148" s="8">
        <v>32.475642563183044</v>
      </c>
      <c r="C148" s="8">
        <v>27.201320290926276</v>
      </c>
      <c r="D148" s="8">
        <v>25.217417734131118</v>
      </c>
      <c r="E148" s="8">
        <v>24.149864431853587</v>
      </c>
      <c r="F148" s="8">
        <v>23.474230727069767</v>
      </c>
      <c r="G148" s="8">
        <v>23.004478964351847</v>
      </c>
      <c r="H148" s="8">
        <v>22.657095707479129</v>
      </c>
    </row>
    <row r="149" spans="1:8" ht="15.75" thickBot="1" x14ac:dyDescent="0.3">
      <c r="A149" s="12">
        <v>2.94</v>
      </c>
      <c r="B149" s="8">
        <v>32.493433114863535</v>
      </c>
      <c r="C149" s="8">
        <v>27.211445629900311</v>
      </c>
      <c r="D149" s="8">
        <v>25.224709346215889</v>
      </c>
      <c r="E149" s="8">
        <v>24.155643674457224</v>
      </c>
      <c r="F149" s="8">
        <v>23.479057648956086</v>
      </c>
      <c r="G149" s="8">
        <v>23.008646079636947</v>
      </c>
      <c r="H149" s="8">
        <v>22.660776166333108</v>
      </c>
    </row>
    <row r="150" spans="1:8" ht="15.75" thickBot="1" x14ac:dyDescent="0.3">
      <c r="A150" s="12">
        <v>2.96</v>
      </c>
      <c r="B150" s="8">
        <v>32.511125224411956</v>
      </c>
      <c r="C150" s="8">
        <v>27.221515272148281</v>
      </c>
      <c r="D150" s="8">
        <v>25.23196095608057</v>
      </c>
      <c r="E150" s="8">
        <v>24.161391262186385</v>
      </c>
      <c r="F150" s="8">
        <v>23.483858160703846</v>
      </c>
      <c r="G150" s="8">
        <v>23.012790412936852</v>
      </c>
      <c r="H150" s="8">
        <v>22.664436516115302</v>
      </c>
    </row>
    <row r="151" spans="1:8" ht="15.75" thickBot="1" x14ac:dyDescent="0.3">
      <c r="A151" s="12">
        <v>2.98</v>
      </c>
      <c r="B151" s="8">
        <v>32.5287201027283</v>
      </c>
      <c r="C151" s="8">
        <v>27.231529899988004</v>
      </c>
      <c r="D151" s="8">
        <v>25.239173052844194</v>
      </c>
      <c r="E151" s="8">
        <v>24.167107581648906</v>
      </c>
      <c r="F151" s="8">
        <v>23.488632584611082</v>
      </c>
      <c r="G151" s="8">
        <v>23.016912242110891</v>
      </c>
      <c r="H151" s="8">
        <v>22.668077001973757</v>
      </c>
    </row>
    <row r="152" spans="1:8" ht="15.75" thickBot="1" x14ac:dyDescent="0.3">
      <c r="A152" s="12">
        <v>3</v>
      </c>
      <c r="B152" s="8">
        <v>32.546218937759363</v>
      </c>
      <c r="C152" s="8">
        <v>27.241490182844416</v>
      </c>
      <c r="D152" s="8">
        <v>25.246346116397547</v>
      </c>
      <c r="E152" s="8">
        <v>24.172793012165243</v>
      </c>
      <c r="F152" s="8">
        <v>23.493381236904497</v>
      </c>
      <c r="G152" s="8">
        <v>23.021011839786752</v>
      </c>
      <c r="H152" s="8">
        <v>22.671697864442763</v>
      </c>
    </row>
    <row r="153" spans="1:8" ht="15.75" thickBot="1" x14ac:dyDescent="0.3">
      <c r="A153" s="12">
        <v>3.02</v>
      </c>
      <c r="B153" s="8">
        <v>32.563622895084677</v>
      </c>
      <c r="C153" s="8">
        <v>27.251396777577668</v>
      </c>
      <c r="D153" s="8">
        <v>25.253480617637706</v>
      </c>
      <c r="E153" s="8">
        <v>24.178447925953549</v>
      </c>
      <c r="F153" s="8">
        <v>23.498104427893736</v>
      </c>
      <c r="G153" s="8">
        <v>23.02508947349321</v>
      </c>
      <c r="H153" s="8">
        <v>22.675299339559444</v>
      </c>
    </row>
    <row r="154" spans="1:8" ht="15.75" thickBot="1" x14ac:dyDescent="0.3">
      <c r="A154" s="12">
        <v>3.04</v>
      </c>
      <c r="B154" s="8">
        <v>32.580933118483131</v>
      </c>
      <c r="C154" s="8">
        <v>27.26125032880077</v>
      </c>
      <c r="D154" s="8">
        <v>25.26057701869513</v>
      </c>
      <c r="E154" s="8">
        <v>24.184072688308902</v>
      </c>
      <c r="F154" s="8">
        <v>23.502802462120314</v>
      </c>
      <c r="G154" s="8">
        <v>23.029145405788597</v>
      </c>
      <c r="H154" s="8">
        <v>22.678881658977105</v>
      </c>
    </row>
    <row r="155" spans="1:8" ht="15.75" thickBot="1" x14ac:dyDescent="0.3">
      <c r="A155" s="12">
        <v>3.06</v>
      </c>
      <c r="B155" s="8">
        <v>32.598150730481677</v>
      </c>
      <c r="C155" s="8">
        <v>27.271051469186943</v>
      </c>
      <c r="D155" s="8">
        <v>25.267635773153302</v>
      </c>
      <c r="E155" s="8">
        <v>24.189667657776511</v>
      </c>
      <c r="F155" s="8">
        <v>23.507475638502171</v>
      </c>
      <c r="G155" s="8">
        <v>23.033179894385171</v>
      </c>
      <c r="H155" s="8">
        <v>22.682445050075273</v>
      </c>
    </row>
    <row r="156" spans="1:8" ht="15.75" thickBot="1" x14ac:dyDescent="0.3">
      <c r="A156" s="12">
        <v>3.08</v>
      </c>
      <c r="B156" s="8">
        <v>32.615276832887218</v>
      </c>
      <c r="C156" s="8">
        <v>27.280800819767535</v>
      </c>
      <c r="D156" s="8">
        <v>25.274657326261945</v>
      </c>
      <c r="E156" s="8">
        <v>24.195233186320024</v>
      </c>
      <c r="F156" s="8">
        <v>23.512124250473789</v>
      </c>
      <c r="G156" s="8">
        <v>23.037193192269854</v>
      </c>
      <c r="H156" s="8">
        <v>22.685989736065494</v>
      </c>
    </row>
    <row r="157" spans="1:8" ht="15.75" thickBot="1" x14ac:dyDescent="0.3">
      <c r="A157" s="12">
        <v>3.1</v>
      </c>
      <c r="B157" s="8">
        <v>32.632312507300924</v>
      </c>
      <c r="C157" s="8">
        <v>27.290498990220783</v>
      </c>
      <c r="D157" s="8">
        <v>25.281642115143029</v>
      </c>
      <c r="E157" s="8">
        <v>24.20076961948422</v>
      </c>
      <c r="F157" s="8">
        <v>23.516748586121366</v>
      </c>
      <c r="G157" s="8">
        <v>23.041185547820646</v>
      </c>
      <c r="H157" s="8">
        <v>22.689515936094665</v>
      </c>
    </row>
    <row r="158" spans="1:8" ht="15.75" thickBot="1" x14ac:dyDescent="0.3">
      <c r="A158" s="12">
        <v>3.12</v>
      </c>
      <c r="B158" s="8">
        <v>32.649258815617543</v>
      </c>
      <c r="C158" s="8">
        <v>27.300146579150976</v>
      </c>
      <c r="D158" s="8">
        <v>25.288590568990969</v>
      </c>
      <c r="E158" s="8">
        <v>24.206277296552685</v>
      </c>
      <c r="F158" s="8">
        <v>23.521348928314637</v>
      </c>
      <c r="G158" s="8">
        <v>23.045157204920201</v>
      </c>
      <c r="H158" s="8">
        <v>22.693023865344514</v>
      </c>
    </row>
    <row r="159" spans="1:8" ht="15.75" thickBot="1" x14ac:dyDescent="0.3">
      <c r="A159" s="12">
        <v>3.14</v>
      </c>
      <c r="B159" s="8">
        <v>32.666116800508462</v>
      </c>
      <c r="C159" s="8">
        <v>27.309744174359707</v>
      </c>
      <c r="D159" s="8">
        <v>25.295503109266065</v>
      </c>
      <c r="E159" s="8">
        <v>24.211756550700841</v>
      </c>
      <c r="F159" s="8">
        <v>23.525925554833748</v>
      </c>
      <c r="G159" s="8">
        <v>23.049108403065134</v>
      </c>
      <c r="H159" s="8">
        <v>22.696513735128519</v>
      </c>
    </row>
    <row r="160" spans="1:8" ht="15.75" thickBot="1" x14ac:dyDescent="0.3">
      <c r="A160" s="12">
        <v>3.16</v>
      </c>
      <c r="B160" s="8">
        <v>32.682887485890262</v>
      </c>
      <c r="C160" s="8">
        <v>27.319292353108324</v>
      </c>
      <c r="D160" s="8">
        <v>25.302380149882424</v>
      </c>
      <c r="E160" s="8">
        <v>24.217207709143906</v>
      </c>
      <c r="F160" s="8">
        <v>23.530478738492832</v>
      </c>
      <c r="G160" s="8">
        <v>23.053039377472544</v>
      </c>
      <c r="H160" s="8">
        <v>22.699985752985526</v>
      </c>
    </row>
    <row r="161" spans="1:8" ht="15.75" thickBot="1" x14ac:dyDescent="0.3">
      <c r="A161" s="12">
        <v>3.18</v>
      </c>
      <c r="B161" s="8">
        <v>32.699571877379014</v>
      </c>
      <c r="C161" s="8">
        <v>27.328791682372582</v>
      </c>
      <c r="D161" s="8">
        <v>25.30922209738992</v>
      </c>
      <c r="E161" s="8">
        <v>24.222631093280825</v>
      </c>
      <c r="F161" s="8">
        <v>23.535008747259781</v>
      </c>
      <c r="G161" s="8">
        <v>23.056950359182906</v>
      </c>
      <c r="H161" s="8">
        <v>22.70344012277053</v>
      </c>
    </row>
    <row r="162" spans="1:8" ht="15.75" thickBot="1" x14ac:dyDescent="0.3">
      <c r="A162" s="12">
        <v>3.2</v>
      </c>
      <c r="B162" s="8">
        <v>32.716170962730473</v>
      </c>
      <c r="C162" s="8">
        <v>27.338242719089521</v>
      </c>
      <c r="D162" s="8">
        <v>25.316029351150917</v>
      </c>
      <c r="E162" s="8">
        <v>24.228027018833473</v>
      </c>
      <c r="F162" s="8">
        <v>23.53951584437209</v>
      </c>
      <c r="G162" s="8">
        <v>23.060841575160168</v>
      </c>
      <c r="H162" s="8">
        <v>22.706877044743123</v>
      </c>
    </row>
    <row r="163" spans="1:8" ht="15.75" thickBot="1" x14ac:dyDescent="0.3">
      <c r="A163" s="12">
        <v>3.22</v>
      </c>
      <c r="B163" s="8">
        <v>32.732685712267426</v>
      </c>
      <c r="C163" s="8">
        <v>27.347646010396943</v>
      </c>
      <c r="D163" s="8">
        <v>25.32280230351131</v>
      </c>
      <c r="E163" s="8">
        <v>24.233395795981721</v>
      </c>
      <c r="F163" s="8">
        <v>23.544000288449467</v>
      </c>
      <c r="G163" s="8">
        <v>23.064713248388671</v>
      </c>
      <c r="H163" s="8">
        <v>22.710296715652589</v>
      </c>
    </row>
    <row r="164" spans="1:8" ht="15.75" thickBot="1" x14ac:dyDescent="0.3">
      <c r="A164" s="12">
        <v>3.24</v>
      </c>
      <c r="B164" s="8">
        <v>32.749117079293853</v>
      </c>
      <c r="C164" s="8">
        <v>27.357002093865844</v>
      </c>
      <c r="D164" s="8">
        <v>25.329541339966738</v>
      </c>
      <c r="E164" s="8">
        <v>24.238737729494744</v>
      </c>
      <c r="F164" s="8">
        <v>23.54846233360314</v>
      </c>
      <c r="G164" s="8">
        <v>23.068565597967279</v>
      </c>
      <c r="H164" s="8">
        <v>22.713699328821235</v>
      </c>
    </row>
    <row r="165" spans="1:8" ht="15.75" thickBot="1" x14ac:dyDescent="0.3">
      <c r="A165" s="12">
        <v>3.2600000000000002</v>
      </c>
      <c r="B165" s="8">
        <v>32.765466000496929</v>
      </c>
      <c r="C165" s="8">
        <v>27.366311497725462</v>
      </c>
      <c r="D165" s="8">
        <v>25.336246839323792</v>
      </c>
      <c r="E165" s="8">
        <v>24.244053118858176</v>
      </c>
      <c r="F165" s="8">
        <v>23.552902229541644</v>
      </c>
      <c r="G165" s="8">
        <v>23.072398839200446</v>
      </c>
      <c r="H165" s="8">
        <v>22.717085074224428</v>
      </c>
    </row>
    <row r="166" spans="1:8" ht="15.75" thickBot="1" x14ac:dyDescent="0.3">
      <c r="A166" s="12">
        <v>3.2800000000000002</v>
      </c>
      <c r="B166" s="8">
        <v>32.781733396337017</v>
      </c>
      <c r="C166" s="8">
        <v>27.375574741082289</v>
      </c>
      <c r="D166" s="8">
        <v>25.342919173856387</v>
      </c>
      <c r="E166" s="8">
        <v>24.249342258397348</v>
      </c>
      <c r="F166" s="8">
        <v>23.557320221673649</v>
      </c>
      <c r="G166" s="8">
        <v>23.076213183687059</v>
      </c>
      <c r="H166" s="8">
        <v>22.720454138569266</v>
      </c>
    </row>
    <row r="167" spans="1:8" ht="15.75" thickBot="1" x14ac:dyDescent="0.3">
      <c r="A167" s="12">
        <v>3.3000000000000003</v>
      </c>
      <c r="B167" s="8">
        <v>32.797920171426313</v>
      </c>
      <c r="C167" s="8">
        <v>27.384792334132328</v>
      </c>
      <c r="D167" s="8">
        <v>25.34955870945771</v>
      </c>
      <c r="E167" s="8">
        <v>24.254605437397458</v>
      </c>
      <c r="F167" s="8">
        <v>23.561716551207894</v>
      </c>
      <c r="G167" s="8">
        <v>23.080008839406162</v>
      </c>
      <c r="H167" s="8">
        <v>22.723806705369725</v>
      </c>
    </row>
    <row r="168" spans="1:8" ht="15.75" thickBot="1" x14ac:dyDescent="0.3">
      <c r="A168" s="12">
        <v>3.3200000000000003</v>
      </c>
      <c r="B168" s="8">
        <v>32.814027214896385</v>
      </c>
      <c r="C168" s="8">
        <v>27.393964778367149</v>
      </c>
      <c r="D168" s="8">
        <v>25.356165805787327</v>
      </c>
      <c r="E168" s="8">
        <v>24.259842940219812</v>
      </c>
      <c r="F168" s="8">
        <v>23.566091455250046</v>
      </c>
      <c r="G168" s="8">
        <v>23.083786010800623</v>
      </c>
      <c r="H168" s="8">
        <v>22.727142955020952</v>
      </c>
    </row>
    <row r="169" spans="1:8" ht="15.75" thickBot="1" x14ac:dyDescent="0.3">
      <c r="A169" s="12">
        <v>3.34</v>
      </c>
      <c r="B169" s="8">
        <v>32.830055400754759</v>
      </c>
      <c r="C169" s="8">
        <v>27.403092566774035</v>
      </c>
      <c r="D169" s="8">
        <v>25.362740816414885</v>
      </c>
      <c r="E169" s="8">
        <v>24.265055046414716</v>
      </c>
      <c r="F169" s="8">
        <v>23.570445166896775</v>
      </c>
      <c r="G169" s="8">
        <v>23.087544898858255</v>
      </c>
      <c r="H169" s="8">
        <v>22.730463064870264</v>
      </c>
    </row>
    <row r="170" spans="1:8" ht="15.75" thickBot="1" x14ac:dyDescent="0.3">
      <c r="A170" s="12">
        <v>3.36</v>
      </c>
      <c r="B170" s="8">
        <v>32.846005588231662</v>
      </c>
      <c r="C170" s="8">
        <v>27.412176184030159</v>
      </c>
      <c r="D170" s="8">
        <v>25.369284088958409</v>
      </c>
      <c r="E170" s="8">
        <v>24.270242030831298</v>
      </c>
      <c r="F170" s="8">
        <v>23.574777915327104</v>
      </c>
      <c r="G170" s="8">
        <v>23.091285701190316</v>
      </c>
      <c r="H170" s="8">
        <v>22.733767209286725</v>
      </c>
    </row>
    <row r="171" spans="1:8" ht="15.75" thickBot="1" x14ac:dyDescent="0.3">
      <c r="A171" s="12">
        <v>3.38</v>
      </c>
      <c r="B171" s="8">
        <v>32.861878622116421</v>
      </c>
      <c r="C171" s="8">
        <v>27.421216106691759</v>
      </c>
      <c r="D171" s="8">
        <v>25.375795965219936</v>
      </c>
      <c r="E171" s="8">
        <v>24.27540416372409</v>
      </c>
      <c r="F171" s="8">
        <v>23.579089925891253</v>
      </c>
      <c r="G171" s="8">
        <v>23.095008612108074</v>
      </c>
      <c r="H171" s="8">
        <v>22.737055559728674</v>
      </c>
    </row>
    <row r="172" spans="1:8" ht="15.75" thickBot="1" x14ac:dyDescent="0.3">
      <c r="A172" s="12">
        <v>3.4</v>
      </c>
      <c r="B172" s="8">
        <v>32.877675333084426</v>
      </c>
      <c r="C172" s="8">
        <v>27.430212803377117</v>
      </c>
      <c r="D172" s="8">
        <v>25.382276781316421</v>
      </c>
      <c r="E172" s="8">
        <v>24.280541710856426</v>
      </c>
      <c r="F172" s="8">
        <v>23.583381420196872</v>
      </c>
      <c r="G172" s="8">
        <v>23.098713822697277</v>
      </c>
      <c r="H172" s="8">
        <v>22.740328284809095</v>
      </c>
    </row>
    <row r="173" spans="1:8" ht="15.75" thickBot="1" x14ac:dyDescent="0.3">
      <c r="A173" s="12">
        <v>3.42</v>
      </c>
      <c r="B173" s="8">
        <v>32.893396538014827</v>
      </c>
      <c r="C173" s="8">
        <v>27.439166734945104</v>
      </c>
      <c r="D173" s="8">
        <v>25.388726867807236</v>
      </c>
      <c r="E173" s="8">
        <v>24.285654933601336</v>
      </c>
      <c r="F173" s="8">
        <v>23.58765261619277</v>
      </c>
      <c r="G173" s="8">
        <v>23.102401520890226</v>
      </c>
      <c r="H173" s="8">
        <v>22.743585550359455</v>
      </c>
    </row>
    <row r="174" spans="1:8" ht="15.75" thickBot="1" x14ac:dyDescent="0.3">
      <c r="A174" s="12">
        <v>3.44</v>
      </c>
      <c r="B174" s="8">
        <v>32.909043040298968</v>
      </c>
      <c r="C174" s="8">
        <v>27.448078354667928</v>
      </c>
      <c r="D174" s="8">
        <v>25.395146549818037</v>
      </c>
      <c r="E174" s="8">
        <v>24.290744089039151</v>
      </c>
      <c r="F174" s="8">
        <v>23.591903728250543</v>
      </c>
      <c r="G174" s="8">
        <v>23.106071891535919</v>
      </c>
      <c r="H174" s="8">
        <v>22.74682751949149</v>
      </c>
    </row>
    <row r="175" spans="1:8" ht="15.75" thickBot="1" x14ac:dyDescent="0.3">
      <c r="A175" s="12">
        <v>3.46</v>
      </c>
      <c r="B175" s="8">
        <v>32.924615630140806</v>
      </c>
      <c r="C175" s="8">
        <v>27.45694810840007</v>
      </c>
      <c r="D175" s="8">
        <v>25.40153614716121</v>
      </c>
      <c r="E175" s="8">
        <v>24.2958094300526</v>
      </c>
      <c r="F175" s="8">
        <v>23.596134967243586</v>
      </c>
      <c r="G175" s="8">
        <v>23.109725116468326</v>
      </c>
      <c r="H175" s="8">
        <v>22.75005435265723</v>
      </c>
    </row>
    <row r="176" spans="1:8" ht="15.75" thickBot="1" x14ac:dyDescent="0.3">
      <c r="A176" s="12">
        <v>3.48</v>
      </c>
      <c r="B176" s="8">
        <v>32.94011508484806</v>
      </c>
      <c r="C176" s="8">
        <v>27.465776434741258</v>
      </c>
      <c r="D176" s="8">
        <v>25.40789597445297</v>
      </c>
      <c r="E176" s="8">
        <v>24.300851205419292</v>
      </c>
      <c r="F176" s="8">
        <v>23.600346540624116</v>
      </c>
      <c r="G176" s="8">
        <v>23.113361374572605</v>
      </c>
      <c r="H176" s="8">
        <v>22.753266207707782</v>
      </c>
    </row>
    <row r="177" spans="1:8" ht="15.75" thickBot="1" x14ac:dyDescent="0.3">
      <c r="A177" s="12">
        <v>3.5</v>
      </c>
      <c r="B177" s="8">
        <v>32.955542169116256</v>
      </c>
      <c r="C177" s="8">
        <v>27.474563765196081</v>
      </c>
      <c r="D177" s="8">
        <v>25.41422634122722</v>
      </c>
      <c r="E177" s="8">
        <v>24.305869659901475</v>
      </c>
      <c r="F177" s="8">
        <v>23.60453865249815</v>
      </c>
      <c r="G177" s="8">
        <v>23.116980841849909</v>
      </c>
      <c r="H177" s="8">
        <v>22.756463239949994</v>
      </c>
    </row>
    <row r="178" spans="1:8" ht="15.75" thickBot="1" x14ac:dyDescent="0.3">
      <c r="A178" s="12">
        <v>3.52</v>
      </c>
      <c r="B178" s="8">
        <v>32.970897635304084</v>
      </c>
      <c r="C178" s="8">
        <v>27.483310524328488</v>
      </c>
      <c r="D178" s="8">
        <v>25.42052755204611</v>
      </c>
      <c r="E178" s="8">
        <v>24.31086503433346</v>
      </c>
      <c r="F178" s="8">
        <v>23.608711503698032</v>
      </c>
      <c r="G178" s="8">
        <v>23.120583691479681</v>
      </c>
      <c r="H178" s="8">
        <v>22.759645602201886</v>
      </c>
    </row>
    <row r="179" spans="1:8" ht="15.75" thickBot="1" x14ac:dyDescent="0.3">
      <c r="A179" s="12">
        <v>3.54</v>
      </c>
      <c r="B179" s="8">
        <v>32.98618222370169</v>
      </c>
      <c r="C179" s="8">
        <v>27.492017129912426</v>
      </c>
      <c r="D179" s="8">
        <v>25.426799906607812</v>
      </c>
      <c r="E179" s="8">
        <v>24.315837565706772</v>
      </c>
      <c r="F179" s="8">
        <v>23.612865291853552</v>
      </c>
      <c r="G179" s="8">
        <v>23.124170093880934</v>
      </c>
      <c r="H179" s="8">
        <v>22.762813444846188</v>
      </c>
    </row>
    <row r="180" spans="1:8" ht="15.75" thickBot="1" x14ac:dyDescent="0.3">
      <c r="A180" s="12">
        <v>3.56</v>
      </c>
      <c r="B180" s="8">
        <v>33.001396662791478</v>
      </c>
      <c r="C180" s="8">
        <v>27.500683993077985</v>
      </c>
      <c r="D180" s="8">
        <v>25.433043699851282</v>
      </c>
      <c r="E180" s="8">
        <v>24.320787487252574</v>
      </c>
      <c r="F180" s="8">
        <v>23.617000211460606</v>
      </c>
      <c r="G180" s="8">
        <v>23.127740216771542</v>
      </c>
      <c r="H180" s="8">
        <v>22.765966915883041</v>
      </c>
    </row>
    <row r="181" spans="1:8" ht="15.75" thickBot="1" x14ac:dyDescent="0.3">
      <c r="A181" s="12">
        <v>3.58</v>
      </c>
      <c r="B181" s="8">
        <v>33.016541669502033</v>
      </c>
      <c r="C181" s="8">
        <v>27.509311518454069</v>
      </c>
      <c r="D181" s="8">
        <v>25.439259222058183</v>
      </c>
      <c r="E181" s="8">
        <v>24.325715028522382</v>
      </c>
      <c r="F181" s="8">
        <v>23.621116453948275</v>
      </c>
      <c r="G181" s="8">
        <v>23.131294225225929</v>
      </c>
      <c r="H181" s="8">
        <v>22.769106160980698</v>
      </c>
    </row>
    <row r="182" spans="1:8" ht="15.75" thickBot="1" x14ac:dyDescent="0.3">
      <c r="A182" s="12">
        <v>3.6</v>
      </c>
      <c r="B182" s="8">
        <v>33.031617949454812</v>
      </c>
      <c r="C182" s="8">
        <v>27.517900104306989</v>
      </c>
      <c r="D182" s="8">
        <v>25.445446758951846</v>
      </c>
      <c r="E182" s="8">
        <v>24.330620415466171</v>
      </c>
      <c r="F182" s="8">
        <v>23.625214207744079</v>
      </c>
      <c r="G182" s="8">
        <v>23.134832281731406</v>
      </c>
      <c r="H182" s="8">
        <v>22.772231323525205</v>
      </c>
    </row>
    <row r="183" spans="1:8" ht="15.75" thickBot="1" x14ac:dyDescent="0.3">
      <c r="A183" s="12">
        <v>3.62</v>
      </c>
      <c r="B183" s="8">
        <v>33.046626197204773</v>
      </c>
      <c r="C183" s="8">
        <v>27.526450142675287</v>
      </c>
      <c r="D183" s="8">
        <v>25.451606591794189</v>
      </c>
      <c r="E183" s="8">
        <v>24.33550387050883</v>
      </c>
      <c r="F183" s="8">
        <v>23.629293658337531</v>
      </c>
      <c r="G183" s="8">
        <v>23.138354546242681</v>
      </c>
      <c r="H183" s="8">
        <v>22.775342544668376</v>
      </c>
    </row>
    <row r="184" spans="1:8" ht="15.75" thickBot="1" x14ac:dyDescent="0.3">
      <c r="A184" s="12">
        <v>3.64</v>
      </c>
      <c r="B184" s="8">
        <v>33.061567096473993</v>
      </c>
      <c r="C184" s="8">
        <v>27.534962019500995</v>
      </c>
      <c r="D184" s="8">
        <v>25.457738997479339</v>
      </c>
      <c r="E184" s="8">
        <v>24.340365612623998</v>
      </c>
      <c r="F184" s="8">
        <v>23.633354988341807</v>
      </c>
      <c r="G184" s="8">
        <v>23.141861176235295</v>
      </c>
      <c r="H184" s="8">
        <v>22.778439963375092</v>
      </c>
    </row>
    <row r="185" spans="1:8" ht="15.75" thickBot="1" x14ac:dyDescent="0.3">
      <c r="A185" s="12">
        <v>3.66</v>
      </c>
      <c r="B185" s="8">
        <v>33.076441320379331</v>
      </c>
      <c r="C185" s="8">
        <v>27.543436114757583</v>
      </c>
      <c r="D185" s="8">
        <v>25.463844248625264</v>
      </c>
      <c r="E185" s="8">
        <v>24.345205857406597</v>
      </c>
      <c r="F185" s="8">
        <v>23.637398377553836</v>
      </c>
      <c r="G185" s="8">
        <v>23.145352326757234</v>
      </c>
      <c r="H185" s="8">
        <v>22.781523716468939</v>
      </c>
    </row>
    <row r="186" spans="1:8" ht="15.75" thickBot="1" x14ac:dyDescent="0.3">
      <c r="A186" s="12">
        <v>3.68</v>
      </c>
      <c r="B186" s="8">
        <v>33.091249531654455</v>
      </c>
      <c r="C186" s="8">
        <v>27.551872802574337</v>
      </c>
      <c r="D186" s="8">
        <v>25.469922613662732</v>
      </c>
      <c r="E186" s="8">
        <v>24.350024817143094</v>
      </c>
      <c r="F186" s="8">
        <v>23.641424003013185</v>
      </c>
      <c r="G186" s="8">
        <v>23.14882815047963</v>
      </c>
      <c r="H186" s="8">
        <v>22.784593938676551</v>
      </c>
    </row>
    <row r="187" spans="1:8" ht="15.75" thickBot="1" x14ac:dyDescent="0.3">
      <c r="A187" s="12">
        <v>3.7</v>
      </c>
      <c r="B187" s="8">
        <v>33.105992382865395</v>
      </c>
      <c r="C187" s="8">
        <v>27.560272451357662</v>
      </c>
      <c r="D187" s="8">
        <v>25.475974356922165</v>
      </c>
      <c r="E187" s="8">
        <v>24.354822700879765</v>
      </c>
      <c r="F187" s="8">
        <v>23.64543203905879</v>
      </c>
      <c r="G187" s="8">
        <v>23.152288797745939</v>
      </c>
      <c r="H187" s="8">
        <v>22.787650762671035</v>
      </c>
    </row>
    <row r="188" spans="1:8" ht="15.75" thickBot="1" x14ac:dyDescent="0.3">
      <c r="A188" s="12">
        <v>3.72</v>
      </c>
      <c r="B188" s="8">
        <v>33.120670516620976</v>
      </c>
      <c r="C188" s="8">
        <v>27.568635423908972</v>
      </c>
      <c r="D188" s="8">
        <v>25.481999738718059</v>
      </c>
      <c r="E188" s="8">
        <v>24.359599714489775</v>
      </c>
      <c r="F188" s="8">
        <v>23.649422657384775</v>
      </c>
      <c r="G188" s="8">
        <v>23.155734416619509</v>
      </c>
      <c r="H188" s="8">
        <v>22.790694319114266</v>
      </c>
    </row>
    <row r="189" spans="1:8" ht="15.75" thickBot="1" x14ac:dyDescent="0.3">
      <c r="A189" s="12">
        <v>3.74</v>
      </c>
      <c r="B189" s="8">
        <v>33.135284565777454</v>
      </c>
      <c r="C189" s="8">
        <v>27.576962077539861</v>
      </c>
      <c r="D189" s="8">
        <v>25.487999015431342</v>
      </c>
      <c r="E189" s="8">
        <v>24.364356060737748</v>
      </c>
      <c r="F189" s="8">
        <v>23.653396027094459</v>
      </c>
      <c r="G189" s="8">
        <v>23.159165152930598</v>
      </c>
      <c r="H189" s="8">
        <v>22.793724736698096</v>
      </c>
    </row>
    <row r="190" spans="1:8" ht="15.75" thickBot="1" x14ac:dyDescent="0.3">
      <c r="A190" s="12">
        <v>3.7600000000000002</v>
      </c>
      <c r="B190" s="8">
        <v>33.149835153638094</v>
      </c>
      <c r="C190" s="8">
        <v>27.585252764183963</v>
      </c>
      <c r="D190" s="8">
        <v>25.493972439589356</v>
      </c>
      <c r="E190" s="8">
        <v>24.369091939343434</v>
      </c>
      <c r="F190" s="8">
        <v>23.657352314753041</v>
      </c>
      <c r="G190" s="8">
        <v>23.162581150321614</v>
      </c>
      <c r="H190" s="8">
        <v>22.796742142184257</v>
      </c>
    </row>
    <row r="191" spans="1:8" ht="15.75" thickBot="1" x14ac:dyDescent="0.3">
      <c r="A191" s="12">
        <v>3.7800000000000002</v>
      </c>
      <c r="B191" s="8">
        <v>33.164322894147631</v>
      </c>
      <c r="C191" s="8">
        <v>27.593507830506326</v>
      </c>
      <c r="D191" s="8">
        <v>25.499920259944304</v>
      </c>
      <c r="E191" s="8">
        <v>24.37380754704327</v>
      </c>
      <c r="F191" s="8">
        <v>23.661291684439163</v>
      </c>
      <c r="G191" s="8">
        <v>23.165982550291403</v>
      </c>
      <c r="H191" s="8">
        <v>22.799746660443418</v>
      </c>
    </row>
    <row r="192" spans="1:8" ht="15.75" thickBot="1" x14ac:dyDescent="0.3">
      <c r="A192" s="12">
        <v>3.8000000000000003</v>
      </c>
      <c r="B192" s="8">
        <v>33.178748392081559</v>
      </c>
      <c r="C192" s="8">
        <v>27.601727618009591</v>
      </c>
      <c r="D192" s="8">
        <v>25.505842721549186</v>
      </c>
      <c r="E192" s="8">
        <v>24.37850307765035</v>
      </c>
      <c r="F192" s="8">
        <v>23.665214297794876</v>
      </c>
      <c r="G192" s="8">
        <v>23.169369492238559</v>
      </c>
      <c r="H192" s="8">
        <v>22.80273841449349</v>
      </c>
    </row>
    <row r="193" spans="1:8" ht="15.75" thickBot="1" x14ac:dyDescent="0.3">
      <c r="A193" s="12">
        <v>3.8200000000000003</v>
      </c>
      <c r="B193" s="8">
        <v>33.193112243230701</v>
      </c>
      <c r="C193" s="8">
        <v>27.609912463137789</v>
      </c>
      <c r="D193" s="8">
        <v>25.511740065831873</v>
      </c>
      <c r="E193" s="8">
        <v>24.383178722113314</v>
      </c>
      <c r="F193" s="8">
        <v>23.669120314074519</v>
      </c>
      <c r="G193" s="8">
        <v>23.172742113503261</v>
      </c>
      <c r="H193" s="8">
        <v>22.805717525536465</v>
      </c>
    </row>
    <row r="194" spans="1:8" ht="15.75" thickBot="1" x14ac:dyDescent="0.3">
      <c r="A194" s="12">
        <v>3.84</v>
      </c>
      <c r="B194" s="8">
        <v>33.207415034581288</v>
      </c>
      <c r="C194" s="8">
        <v>27.618062697377241</v>
      </c>
      <c r="D194" s="8">
        <v>25.517612530667805</v>
      </c>
      <c r="E194" s="8">
        <v>24.387834668573248</v>
      </c>
      <c r="F194" s="8">
        <v>23.673009890192191</v>
      </c>
      <c r="G194" s="8">
        <v>23.176100549408488</v>
      </c>
      <c r="H194" s="8">
        <v>22.80868411299474</v>
      </c>
    </row>
    <row r="195" spans="1:8" ht="15.75" thickBot="1" x14ac:dyDescent="0.3">
      <c r="A195" s="12">
        <v>3.86</v>
      </c>
      <c r="B195" s="8">
        <v>33.221657344490211</v>
      </c>
      <c r="C195" s="8">
        <v>27.626178647355459</v>
      </c>
      <c r="D195" s="8">
        <v>25.523460350450193</v>
      </c>
      <c r="E195" s="8">
        <v>24.392471102419393</v>
      </c>
      <c r="F195" s="8">
        <v>23.676883180768357</v>
      </c>
      <c r="G195" s="8">
        <v>23.179444933299976</v>
      </c>
      <c r="H195" s="8">
        <v>22.811638294546185</v>
      </c>
    </row>
    <row r="196" spans="1:8" ht="15.75" thickBot="1" x14ac:dyDescent="0.3">
      <c r="A196" s="12">
        <v>3.88</v>
      </c>
      <c r="B196" s="8">
        <v>33.235839742856342</v>
      </c>
      <c r="C196" s="8">
        <v>27.634260634936766</v>
      </c>
      <c r="D196" s="8">
        <v>25.529283756159032</v>
      </c>
      <c r="E196" s="8">
        <v>24.397088206343653</v>
      </c>
      <c r="F196" s="8">
        <v>23.680740338174985</v>
      </c>
      <c r="G196" s="8">
        <v>23.182775396585043</v>
      </c>
      <c r="H196" s="8">
        <v>22.814580186158878</v>
      </c>
    </row>
    <row r="197" spans="1:8" ht="15.75" thickBot="1" x14ac:dyDescent="0.3">
      <c r="A197" s="12">
        <v>3.9</v>
      </c>
      <c r="B197" s="8">
        <v>33.249962791286862</v>
      </c>
      <c r="C197" s="8">
        <v>27.642308977316304</v>
      </c>
      <c r="D197" s="8">
        <v>25.53508297542794</v>
      </c>
      <c r="E197" s="8">
        <v>24.401686160393297</v>
      </c>
      <c r="F197" s="8">
        <v>23.684581512579541</v>
      </c>
      <c r="G197" s="8">
        <v>23.186092068770847</v>
      </c>
      <c r="H197" s="8">
        <v>22.8175099021243</v>
      </c>
    </row>
    <row r="198" spans="1:8" ht="15.75" thickBot="1" x14ac:dyDescent="0.3">
      <c r="A198" s="12">
        <v>3.92</v>
      </c>
      <c r="B198" s="8">
        <v>33.264027043260228</v>
      </c>
      <c r="C198" s="8">
        <v>27.650323987111278</v>
      </c>
      <c r="D198" s="8">
        <v>25.540858232609651</v>
      </c>
      <c r="E198" s="8">
        <v>24.406265142022789</v>
      </c>
      <c r="F198" s="8">
        <v>23.688406851988304</v>
      </c>
      <c r="G198" s="8">
        <v>23.18939507750116</v>
      </c>
      <c r="H198" s="8">
        <v>22.820427555090248</v>
      </c>
    </row>
    <row r="199" spans="1:8" ht="15.75" thickBot="1" x14ac:dyDescent="0.3">
      <c r="A199" s="12">
        <v>3.94</v>
      </c>
      <c r="B199" s="8">
        <v>33.278033044284768</v>
      </c>
      <c r="C199" s="8">
        <v>27.658305972450023</v>
      </c>
      <c r="D199" s="8">
        <v>25.546609748839956</v>
      </c>
      <c r="E199" s="8">
        <v>24.410825326144106</v>
      </c>
      <c r="F199" s="8">
        <v>23.69221650228809</v>
      </c>
      <c r="G199" s="8">
        <v>23.192684548593036</v>
      </c>
      <c r="H199" s="8">
        <v>22.82333325609261</v>
      </c>
    </row>
    <row r="200" spans="1:8" ht="15.75" thickBot="1" x14ac:dyDescent="0.3">
      <c r="A200" s="12">
        <v>3.96</v>
      </c>
      <c r="B200" s="8">
        <v>33.291981332053297</v>
      </c>
      <c r="C200" s="8">
        <v>27.666255237059147</v>
      </c>
      <c r="D200" s="8">
        <v>25.55233774209978</v>
      </c>
      <c r="E200" s="8">
        <v>24.415366885175786</v>
      </c>
      <c r="F200" s="8">
        <v>23.696010607287405</v>
      </c>
      <c r="G200" s="8">
        <v>23.195960606071424</v>
      </c>
      <c r="H200" s="8">
        <v>22.826227114586516</v>
      </c>
    </row>
    <row r="201" spans="1:8" ht="15.75" thickBot="1" x14ac:dyDescent="0.3">
      <c r="A201" s="12">
        <v>3.98</v>
      </c>
      <c r="B201" s="8">
        <v>33.305872436594257</v>
      </c>
      <c r="C201" s="8">
        <v>27.674172080348114</v>
      </c>
      <c r="D201" s="8">
        <v>25.558042427275893</v>
      </c>
      <c r="E201" s="8">
        <v>24.419889989091246</v>
      </c>
      <c r="F201" s="8">
        <v>23.699789308756124</v>
      </c>
      <c r="G201" s="8">
        <v>23.199223372204358</v>
      </c>
      <c r="H201" s="8">
        <v>22.82910923847686</v>
      </c>
    </row>
    <row r="202" spans="1:8" ht="15.75" thickBot="1" x14ac:dyDescent="0.3">
      <c r="A202" s="12">
        <v>4</v>
      </c>
      <c r="B202" s="8">
        <v>33.319706880418892</v>
      </c>
      <c r="C202" s="8">
        <v>27.682056797492407</v>
      </c>
      <c r="D202" s="8">
        <v>25.563724016220306</v>
      </c>
      <c r="E202" s="8">
        <v>24.424394805465113</v>
      </c>
      <c r="F202" s="8">
        <v>23.703552746464879</v>
      </c>
      <c r="G202" s="8">
        <v>23.202472967535925</v>
      </c>
      <c r="H202" s="8">
        <v>22.831979734147808</v>
      </c>
    </row>
    <row r="203" spans="1:8" ht="15.75" thickBot="1" x14ac:dyDescent="0.3">
      <c r="A203" s="12">
        <v>4.0199999999999996</v>
      </c>
      <c r="B203" s="8">
        <v>33.333485178665171</v>
      </c>
      <c r="C203" s="8">
        <v>27.689909679513676</v>
      </c>
      <c r="D203" s="8">
        <v>25.569382717807969</v>
      </c>
      <c r="E203" s="8">
        <v>24.428881499519264</v>
      </c>
      <c r="F203" s="8">
        <v>23.707301058222868</v>
      </c>
      <c r="G203" s="8">
        <v>23.205709510919462</v>
      </c>
      <c r="H203" s="8">
        <v>22.83483870649161</v>
      </c>
    </row>
    <row r="204" spans="1:8" ht="15.75" thickBot="1" x14ac:dyDescent="0.3">
      <c r="A204" s="12">
        <v>4.04</v>
      </c>
      <c r="B204" s="8">
        <v>33.347207839237853</v>
      </c>
      <c r="C204" s="8">
        <v>27.697731013359373</v>
      </c>
      <c r="D204" s="8">
        <v>25.575018737993446</v>
      </c>
      <c r="E204" s="8">
        <v>24.433350234167222</v>
      </c>
      <c r="F204" s="8">
        <v>23.711034379914963</v>
      </c>
      <c r="G204" s="8">
        <v>23.208933119549329</v>
      </c>
      <c r="H204" s="8">
        <v>22.83768625893714</v>
      </c>
    </row>
    <row r="205" spans="1:8" ht="15.75" thickBot="1" x14ac:dyDescent="0.3">
      <c r="A205" s="12">
        <v>4.0600000000000005</v>
      </c>
      <c r="B205" s="8">
        <v>33.360875362945762</v>
      </c>
      <c r="C205" s="8">
        <v>27.705521081978986</v>
      </c>
      <c r="D205" s="8">
        <v>25.580632279865654</v>
      </c>
      <c r="E205" s="8">
        <v>24.43780117005781</v>
      </c>
      <c r="F205" s="8">
        <v>23.714752845538101</v>
      </c>
      <c r="G205" s="8">
        <v>23.212143908992402</v>
      </c>
      <c r="H205" s="8">
        <v>22.840522493477295</v>
      </c>
    </row>
    <row r="206" spans="1:8" ht="15.75" thickBot="1" x14ac:dyDescent="0.3">
      <c r="A206" s="12">
        <v>4.08</v>
      </c>
      <c r="B206" s="8">
        <v>33.374488243635142</v>
      </c>
      <c r="C206" s="8">
        <v>27.713280164399805</v>
      </c>
      <c r="D206" s="8">
        <v>25.586223543701976</v>
      </c>
      <c r="E206" s="8">
        <v>24.442234465617503</v>
      </c>
      <c r="F206" s="8">
        <v>23.718456587236744</v>
      </c>
      <c r="G206" s="8">
        <v>23.215341993218374</v>
      </c>
      <c r="H206" s="8">
        <v>22.843347510695708</v>
      </c>
    </row>
    <row r="207" spans="1:8" ht="15.75" thickBot="1" x14ac:dyDescent="0.3">
      <c r="A207" s="12">
        <v>4.0999999999999996</v>
      </c>
      <c r="B207" s="8">
        <v>33.388046968320509</v>
      </c>
      <c r="C207" s="8">
        <v>27.72100853579974</v>
      </c>
      <c r="D207" s="8">
        <v>25.591792727020788</v>
      </c>
      <c r="E207" s="8">
        <v>24.446650277092033</v>
      </c>
      <c r="F207" s="8">
        <v>23.722145735337222</v>
      </c>
      <c r="G207" s="8">
        <v>23.21852748462959</v>
      </c>
      <c r="H207" s="8">
        <v>22.846161409793353</v>
      </c>
    </row>
    <row r="208" spans="1:8" ht="15.75" thickBot="1" x14ac:dyDescent="0.3">
      <c r="A208" s="12">
        <v>4.12</v>
      </c>
      <c r="B208" s="8">
        <v>33.401552017311928</v>
      </c>
      <c r="C208" s="8">
        <v>27.728706467579457</v>
      </c>
      <c r="D208" s="8">
        <v>25.597340024632501</v>
      </c>
      <c r="E208" s="8">
        <v>24.451048758586865</v>
      </c>
      <c r="F208" s="8">
        <v>23.725820418381716</v>
      </c>
      <c r="G208" s="8">
        <v>23.221700494090214</v>
      </c>
      <c r="H208" s="8">
        <v>22.848964288614241</v>
      </c>
    </row>
    <row r="209" spans="1:8" ht="15.75" thickBot="1" x14ac:dyDescent="0.3">
      <c r="A209" s="12">
        <v>4.1400000000000006</v>
      </c>
      <c r="B209" s="8">
        <v>33.415003864339496</v>
      </c>
      <c r="C209" s="8">
        <v>27.736374227431895</v>
      </c>
      <c r="D209" s="8">
        <v>25.602865628689869</v>
      </c>
      <c r="E209" s="8">
        <v>24.4554300621067</v>
      </c>
      <c r="F209" s="8">
        <v>23.729480763161121</v>
      </c>
      <c r="G209" s="8">
        <v>23.224861130954707</v>
      </c>
      <c r="H209" s="8">
        <v>22.851756243669968</v>
      </c>
    </row>
    <row r="210" spans="1:8" ht="15.75" thickBot="1" x14ac:dyDescent="0.3">
      <c r="A210" s="12">
        <v>4.16</v>
      </c>
      <c r="B210" s="8">
        <v>33.428402976674988</v>
      </c>
      <c r="C210" s="8">
        <v>27.74401207941105</v>
      </c>
      <c r="D210" s="8">
        <v>25.608369728736932</v>
      </c>
      <c r="E210" s="8">
        <v>24.459794337594246</v>
      </c>
      <c r="F210" s="8">
        <v>23.733126894747272</v>
      </c>
      <c r="G210" s="8">
        <v>23.228009503095279</v>
      </c>
      <c r="H210" s="8">
        <v>22.854537370164849</v>
      </c>
    </row>
    <row r="211" spans="1:8" ht="15.75" thickBot="1" x14ac:dyDescent="0.3">
      <c r="A211" s="12">
        <v>4.18</v>
      </c>
      <c r="B211" s="8">
        <v>33.441749815250603</v>
      </c>
      <c r="C211" s="8">
        <v>27.751620283998363</v>
      </c>
      <c r="D211" s="8">
        <v>25.613852511756647</v>
      </c>
      <c r="E211" s="8">
        <v>24.46414173296796</v>
      </c>
      <c r="F211" s="8">
        <v>23.736758936524382</v>
      </c>
      <c r="G211" s="8">
        <v>23.231145716929404</v>
      </c>
      <c r="H211" s="8">
        <v>22.857307762019445</v>
      </c>
    </row>
    <row r="212" spans="1:8" ht="15.75" thickBot="1" x14ac:dyDescent="0.3">
      <c r="A212" s="12">
        <v>4.1999999999999993</v>
      </c>
      <c r="B212" s="8">
        <v>33.455044834774867</v>
      </c>
      <c r="C212" s="8">
        <v>27.759199098168153</v>
      </c>
      <c r="D212" s="8">
        <v>25.619314162217847</v>
      </c>
      <c r="E212" s="8">
        <v>24.46847239415888</v>
      </c>
      <c r="F212" s="8">
        <v>23.740377010219902</v>
      </c>
      <c r="G212" s="8">
        <v>23.234269877446025</v>
      </c>
      <c r="H212" s="8">
        <v>22.860067511893931</v>
      </c>
    </row>
    <row r="213" spans="1:8" ht="15.75" thickBot="1" x14ac:dyDescent="0.3">
      <c r="A213" s="12">
        <v>4.22</v>
      </c>
      <c r="B213" s="8">
        <v>33.468288483846095</v>
      </c>
      <c r="C213" s="8">
        <v>27.766748775451276</v>
      </c>
      <c r="D213" s="8">
        <v>25.624754862120653</v>
      </c>
      <c r="E213" s="8">
        <v>24.472786465146726</v>
      </c>
      <c r="F213" s="8">
        <v>23.74398123593437</v>
      </c>
      <c r="G213" s="8">
        <v>23.237382088231584</v>
      </c>
      <c r="H213" s="8">
        <v>22.862816711211167</v>
      </c>
    </row>
    <row r="214" spans="1:8" ht="15.75" thickBot="1" x14ac:dyDescent="0.3">
      <c r="A214" s="12">
        <v>4.24</v>
      </c>
      <c r="B214" s="8">
        <v>33.481481205063233</v>
      </c>
      <c r="C214" s="8">
        <v>27.774269565997429</v>
      </c>
      <c r="D214" s="8">
        <v>25.6301747910411</v>
      </c>
      <c r="E214" s="8">
        <v>24.477084087994911</v>
      </c>
      <c r="F214" s="8">
        <v>23.747571732170968</v>
      </c>
      <c r="G214" s="8">
        <v>23.240482451495211</v>
      </c>
      <c r="H214" s="8">
        <v>22.865555450178817</v>
      </c>
    </row>
    <row r="215" spans="1:8" ht="15.75" thickBot="1" x14ac:dyDescent="0.3">
      <c r="A215" s="12">
        <v>4.26</v>
      </c>
      <c r="B215" s="8">
        <v>33.494623435133747</v>
      </c>
      <c r="C215" s="8">
        <v>27.781761716635856</v>
      </c>
      <c r="D215" s="8">
        <v>25.635574126174845</v>
      </c>
      <c r="E215" s="8">
        <v>24.481365402885388</v>
      </c>
      <c r="F215" s="8">
        <v>23.75114861586394</v>
      </c>
      <c r="G215" s="8">
        <v>23.243571068093615</v>
      </c>
      <c r="H215" s="8">
        <v>22.868283817811118</v>
      </c>
    </row>
    <row r="216" spans="1:8" ht="15.75" thickBot="1" x14ac:dyDescent="0.3">
      <c r="A216" s="12">
        <v>4.2799999999999994</v>
      </c>
      <c r="B216" s="8">
        <v>33.507715604979808</v>
      </c>
      <c r="C216" s="8">
        <v>27.789225470935037</v>
      </c>
      <c r="D216" s="8">
        <v>25.640953042379692</v>
      </c>
      <c r="E216" s="8">
        <v>24.48563054815196</v>
      </c>
      <c r="F216" s="8">
        <v>23.754712002406961</v>
      </c>
      <c r="G216" s="8">
        <v>23.246648037554962</v>
      </c>
      <c r="H216" s="8">
        <v>22.871001901950422</v>
      </c>
    </row>
    <row r="217" spans="1:8" ht="15.75" thickBot="1" x14ac:dyDescent="0.3">
      <c r="A217" s="12">
        <v>4.3</v>
      </c>
      <c r="B217" s="8">
        <v>33.520758139841348</v>
      </c>
      <c r="C217" s="8">
        <v>27.796661069260779</v>
      </c>
      <c r="D217" s="8">
        <v>25.646311712217084</v>
      </c>
      <c r="E217" s="8">
        <v>24.489879660313193</v>
      </c>
      <c r="F217" s="8">
        <v>23.758262005680308</v>
      </c>
      <c r="G217" s="8">
        <v>23.24971345810286</v>
      </c>
      <c r="H217" s="8">
        <v>22.873709789287773</v>
      </c>
    </row>
    <row r="218" spans="1:8" ht="15.75" thickBot="1" x14ac:dyDescent="0.3">
      <c r="A218" s="12">
        <v>4.32</v>
      </c>
      <c r="B218" s="8">
        <v>33.53375145937747</v>
      </c>
      <c r="C218" s="8">
        <v>27.804068748832947</v>
      </c>
      <c r="D218" s="8">
        <v>25.65165030599303</v>
      </c>
      <c r="E218" s="8">
        <v>24.494112874104701</v>
      </c>
      <c r="F218" s="8">
        <v>23.761798738077687</v>
      </c>
      <c r="G218" s="8">
        <v>23.252767426679156</v>
      </c>
      <c r="H218" s="8">
        <v>22.876407565383431</v>
      </c>
    </row>
    <row r="219" spans="1:8" ht="15.75" thickBot="1" x14ac:dyDescent="0.3">
      <c r="A219" s="12">
        <v>4.34</v>
      </c>
      <c r="B219" s="8">
        <v>33.546695977764841</v>
      </c>
      <c r="C219" s="8">
        <v>27.811448743781057</v>
      </c>
      <c r="D219" s="8">
        <v>25.656968991797839</v>
      </c>
      <c r="E219" s="8">
        <v>24.49833032251064</v>
      </c>
      <c r="F219" s="8">
        <v>23.765322310532554</v>
      </c>
      <c r="G219" s="8">
        <v>23.255810038966672</v>
      </c>
      <c r="H219" s="8">
        <v>22.879095314686822</v>
      </c>
    </row>
    <row r="220" spans="1:8" ht="15.75" thickBot="1" x14ac:dyDescent="0.3">
      <c r="A220" s="12">
        <v>4.3599999999999994</v>
      </c>
      <c r="B220" s="8">
        <v>33.559592103794728</v>
      </c>
      <c r="C220" s="8">
        <v>27.818801285198731</v>
      </c>
      <c r="D220" s="8">
        <v>25.662267935544889</v>
      </c>
      <c r="E220" s="8">
        <v>24.502532136794173</v>
      </c>
      <c r="F220" s="8">
        <v>23.768832832543467</v>
      </c>
      <c r="G220" s="8">
        <v>23.258841389411259</v>
      </c>
      <c r="H220" s="8">
        <v>22.88177312055592</v>
      </c>
    </row>
    <row r="221" spans="1:8" ht="15.75" thickBot="1" x14ac:dyDescent="0.3">
      <c r="A221" s="12">
        <v>4.38</v>
      </c>
      <c r="B221" s="8">
        <v>33.572440240967239</v>
      </c>
      <c r="C221" s="8">
        <v>27.826126601196677</v>
      </c>
      <c r="D221" s="8">
        <v>25.667547301008995</v>
      </c>
      <c r="E221" s="8">
        <v>24.506718446527771</v>
      </c>
      <c r="F221" s="8">
        <v>23.772330412199608</v>
      </c>
      <c r="G221" s="8">
        <v>23.261861571243344</v>
      </c>
      <c r="H221" s="8">
        <v>22.884441065276235</v>
      </c>
    </row>
    <row r="222" spans="1:8" ht="15.75" thickBot="1" x14ac:dyDescent="0.3">
      <c r="A222" s="12">
        <v>4.4000000000000004</v>
      </c>
      <c r="B222" s="8">
        <v>33.585240787583643</v>
      </c>
      <c r="C222" s="8">
        <v>27.833424916954868</v>
      </c>
      <c r="D222" s="8">
        <v>25.672807249863297</v>
      </c>
      <c r="E222" s="8">
        <v>24.51088937962254</v>
      </c>
      <c r="F222" s="8">
        <v>23.775815156204771</v>
      </c>
      <c r="G222" s="8">
        <v>23.264870676499072</v>
      </c>
      <c r="H222" s="8">
        <v>22.887099230079627</v>
      </c>
    </row>
    <row r="223" spans="1:8" ht="15.75" thickBot="1" x14ac:dyDescent="0.3">
      <c r="A223" s="12">
        <v>4.42</v>
      </c>
      <c r="B223" s="8">
        <v>33.597994136837087</v>
      </c>
      <c r="C223" s="8">
        <v>27.840696454773081</v>
      </c>
      <c r="D223" s="8">
        <v>25.678047941715761</v>
      </c>
      <c r="E223" s="8">
        <v>24.51504506235699</v>
      </c>
      <c r="F223" s="8">
        <v>23.779287169901636</v>
      </c>
      <c r="G223" s="8">
        <v>23.267868796041057</v>
      </c>
      <c r="H223" s="8">
        <v>22.889747695162384</v>
      </c>
    </row>
    <row r="224" spans="1:8" ht="15.75" thickBot="1" x14ac:dyDescent="0.3">
      <c r="A224" s="12">
        <v>4.4399999999999995</v>
      </c>
      <c r="B224" s="8">
        <v>33.610700676900592</v>
      </c>
      <c r="C224" s="8">
        <v>27.847941434120855</v>
      </c>
      <c r="D224" s="8">
        <v>25.683269534144927</v>
      </c>
      <c r="E224" s="8">
        <v>24.519185619405221</v>
      </c>
      <c r="F224" s="8">
        <v>23.782746557295127</v>
      </c>
      <c r="G224" s="8">
        <v>23.270856019578446</v>
      </c>
      <c r="H224" s="8">
        <v>22.892386539703182</v>
      </c>
    </row>
    <row r="225" spans="1:8" ht="15.75" thickBot="1" x14ac:dyDescent="0.3">
      <c r="A225" s="12">
        <v>4.46</v>
      </c>
      <c r="B225" s="8">
        <v>33.623360791013738</v>
      </c>
      <c r="C225" s="8">
        <v>27.855160071686043</v>
      </c>
      <c r="D225" s="8">
        <v>25.688472182734756</v>
      </c>
      <c r="E225" s="8">
        <v>24.523311173864386</v>
      </c>
      <c r="F225" s="8">
        <v>23.786193421075438</v>
      </c>
      <c r="G225" s="8">
        <v>23.273832435686757</v>
      </c>
      <c r="H225" s="8">
        <v>22.895015841880365</v>
      </c>
    </row>
    <row r="226" spans="1:8" ht="15.75" thickBot="1" x14ac:dyDescent="0.3">
      <c r="A226" s="12">
        <v>4.4800000000000004</v>
      </c>
      <c r="B226" s="8">
        <v>33.635974857567248</v>
      </c>
      <c r="C226" s="8">
        <v>27.862352581422442</v>
      </c>
      <c r="D226" s="8">
        <v>25.693656041108397</v>
      </c>
      <c r="E226" s="8">
        <v>24.52742184728146</v>
      </c>
      <c r="F226" s="8">
        <v>23.789627862640373</v>
      </c>
      <c r="G226" s="8">
        <v>23.27679813182715</v>
      </c>
      <c r="H226" s="8">
        <v>22.89763567888906</v>
      </c>
    </row>
    <row r="227" spans="1:8" ht="15.75" thickBot="1" x14ac:dyDescent="0.3">
      <c r="A227" s="12">
        <v>4.5</v>
      </c>
      <c r="B227" s="8">
        <v>33.648543250185753</v>
      </c>
      <c r="C227" s="8">
        <v>27.869519174596292</v>
      </c>
      <c r="D227" s="8">
        <v>25.698821260962006</v>
      </c>
      <c r="E227" s="8">
        <v>24.531517759680128</v>
      </c>
      <c r="F227" s="8">
        <v>23.793049982117282</v>
      </c>
      <c r="G227" s="8">
        <v>23.27975319436564</v>
      </c>
      <c r="H227" s="8">
        <v>22.900246126957995</v>
      </c>
    </row>
    <row r="228" spans="1:8" ht="15.75" thickBot="1" x14ac:dyDescent="0.3">
      <c r="A228" s="12">
        <v>4.5199999999999996</v>
      </c>
      <c r="B228" s="8">
        <v>33.661066337808847</v>
      </c>
      <c r="C228" s="8">
        <v>27.87666005983192</v>
      </c>
      <c r="D228" s="8">
        <v>25.703967992096977</v>
      </c>
      <c r="E228" s="8">
        <v>24.535599029585853</v>
      </c>
      <c r="F228" s="8">
        <v>23.796459878384667</v>
      </c>
      <c r="G228" s="8">
        <v>23.282697708591229</v>
      </c>
      <c r="H228" s="8">
        <v>22.902847261365707</v>
      </c>
    </row>
    <row r="229" spans="1:8" ht="15.75" thickBot="1" x14ac:dyDescent="0.3">
      <c r="A229" s="12">
        <v>4.54</v>
      </c>
      <c r="B229" s="8">
        <v>33.673544484770161</v>
      </c>
      <c r="C229" s="8">
        <v>27.88377544315631</v>
      </c>
      <c r="D229" s="8">
        <v>25.709096382452174</v>
      </c>
      <c r="E229" s="8">
        <v>24.539665774051741</v>
      </c>
      <c r="F229" s="8">
        <v>23.799857649093212</v>
      </c>
      <c r="G229" s="8">
        <v>23.285631758734269</v>
      </c>
      <c r="H229" s="8">
        <v>22.905439156456566</v>
      </c>
    </row>
    <row r="230" spans="1:8" ht="15.75" thickBot="1" x14ac:dyDescent="0.3">
      <c r="A230" s="12">
        <v>4.5600000000000005</v>
      </c>
      <c r="B230" s="8">
        <v>33.685978050875178</v>
      </c>
      <c r="C230" s="8">
        <v>27.890865528042696</v>
      </c>
      <c r="D230" s="8">
        <v>25.714206578135077</v>
      </c>
      <c r="E230" s="8">
        <v>24.543718108682867</v>
      </c>
      <c r="F230" s="8">
        <v>23.803243390686248</v>
      </c>
      <c r="G230" s="8">
        <v>23.288555427984193</v>
      </c>
      <c r="H230" s="8">
        <v>22.908021885656524</v>
      </c>
    </row>
    <row r="231" spans="1:8" ht="15.75" thickBot="1" x14ac:dyDescent="0.3">
      <c r="A231" s="12">
        <v>4.58</v>
      </c>
      <c r="B231" s="8">
        <v>33.698367391477234</v>
      </c>
      <c r="C231" s="8">
        <v>27.897930515453481</v>
      </c>
      <c r="D231" s="8">
        <v>25.719298723452425</v>
      </c>
      <c r="E231" s="8">
        <v>24.547756147660664</v>
      </c>
      <c r="F231" s="8">
        <v>23.806617198420099</v>
      </c>
      <c r="G231" s="8">
        <v>23.291468798506855</v>
      </c>
      <c r="H231" s="8">
        <v>22.910595521488233</v>
      </c>
    </row>
    <row r="232" spans="1:8" ht="15.75" thickBot="1" x14ac:dyDescent="0.3">
      <c r="A232" s="12">
        <v>4.5999999999999996</v>
      </c>
      <c r="B232" s="8">
        <v>33.710712857551414</v>
      </c>
      <c r="C232" s="8">
        <v>27.90497060388185</v>
      </c>
      <c r="D232" s="8">
        <v>25.724372960940229</v>
      </c>
      <c r="E232" s="8">
        <v>24.551780003766453</v>
      </c>
      <c r="F232" s="8">
        <v>23.809979166383584</v>
      </c>
      <c r="G232" s="8">
        <v>23.294371951461528</v>
      </c>
      <c r="H232" s="8">
        <v>22.913160135586281</v>
      </c>
    </row>
    <row r="233" spans="1:8" ht="15.75" thickBot="1" x14ac:dyDescent="0.3">
      <c r="A233" s="12">
        <v>4.62</v>
      </c>
      <c r="B233" s="8">
        <v>33.723014795767938</v>
      </c>
      <c r="C233" s="8">
        <v>27.911985989392861</v>
      </c>
      <c r="D233" s="8">
        <v>25.72942943139293</v>
      </c>
      <c r="E233" s="8">
        <v>24.555789788404752</v>
      </c>
      <c r="F233" s="8">
        <v>23.813329387517626</v>
      </c>
      <c r="G233" s="8">
        <v>23.297264967017611</v>
      </c>
      <c r="H233" s="8">
        <v>22.915715798711801</v>
      </c>
    </row>
    <row r="234" spans="1:8" ht="15.75" thickBot="1" x14ac:dyDescent="0.3">
      <c r="A234" s="12">
        <v>4.6400000000000006</v>
      </c>
      <c r="B234" s="8">
        <v>33.735273548563043</v>
      </c>
      <c r="C234" s="8">
        <v>27.918976865663581</v>
      </c>
      <c r="D234" s="8">
        <v>25.734468273892389</v>
      </c>
      <c r="E234" s="8">
        <v>24.559785611625898</v>
      </c>
      <c r="F234" s="8">
        <v>23.816667953633896</v>
      </c>
      <c r="G234" s="8">
        <v>23.300147924370833</v>
      </c>
      <c r="H234" s="8">
        <v>22.918262580766793</v>
      </c>
    </row>
    <row r="235" spans="1:8" ht="15.75" thickBot="1" x14ac:dyDescent="0.3">
      <c r="A235" s="12">
        <v>4.66</v>
      </c>
      <c r="B235" s="8">
        <v>33.747489454208846</v>
      </c>
      <c r="C235" s="8">
        <v>27.925943424022137</v>
      </c>
      <c r="D235" s="8">
        <v>25.739489625835859</v>
      </c>
      <c r="E235" s="8">
        <v>24.56376758214833</v>
      </c>
      <c r="F235" s="8">
        <v>23.819994955433458</v>
      </c>
      <c r="G235" s="8">
        <v>23.303020901759453</v>
      </c>
      <c r="H235" s="8">
        <v>22.920800550808224</v>
      </c>
    </row>
    <row r="236" spans="1:8" ht="15.75" thickBot="1" x14ac:dyDescent="0.3">
      <c r="A236" s="12">
        <v>4.68</v>
      </c>
      <c r="B236" s="8">
        <v>33.759662846881668</v>
      </c>
      <c r="C236" s="8">
        <v>27.932885853486482</v>
      </c>
      <c r="D236" s="8">
        <v>25.744493622963603</v>
      </c>
      <c r="E236" s="8">
        <v>24.567735807380302</v>
      </c>
      <c r="F236" s="8">
        <v>23.823310482525017</v>
      </c>
      <c r="G236" s="8">
        <v>23.305883976479606</v>
      </c>
      <c r="H236" s="8">
        <v>22.923329777061952</v>
      </c>
    </row>
    <row r="237" spans="1:8" ht="15.75" thickBot="1" x14ac:dyDescent="0.3">
      <c r="A237" s="12">
        <v>4.6999999999999993</v>
      </c>
      <c r="B237" s="8">
        <v>33.771794056729107</v>
      </c>
      <c r="C237" s="8">
        <v>27.9398043408018</v>
      </c>
      <c r="D237" s="8">
        <v>25.749480399385789</v>
      </c>
      <c r="E237" s="8">
        <v>24.571690393441315</v>
      </c>
      <c r="F237" s="8">
        <v>23.826614623442481</v>
      </c>
      <c r="G237" s="8">
        <v>23.30873722490071</v>
      </c>
      <c r="H237" s="8">
        <v>22.925850326936086</v>
      </c>
    </row>
    <row r="238" spans="1:8" ht="15.75" thickBot="1" x14ac:dyDescent="0.3">
      <c r="A238" s="12">
        <v>4.72</v>
      </c>
      <c r="B238" s="8">
        <v>33.783883409935356</v>
      </c>
      <c r="C238" s="8">
        <v>27.946699070477564</v>
      </c>
      <c r="D238" s="8">
        <v>25.75445008760903</v>
      </c>
      <c r="E238" s="8">
        <v>24.575631445182808</v>
      </c>
      <c r="F238" s="8">
        <v>23.829907465662529</v>
      </c>
      <c r="G238" s="8">
        <v>23.311580722480699</v>
      </c>
      <c r="H238" s="8">
        <v>22.928362267034288</v>
      </c>
    </row>
    <row r="239" spans="1:8" ht="15.75" thickBot="1" x14ac:dyDescent="0.3">
      <c r="A239" s="12">
        <v>4.74</v>
      </c>
      <c r="B239" s="8">
        <v>33.795931228785605</v>
      </c>
      <c r="C239" s="8">
        <v>27.953570224823636</v>
      </c>
      <c r="D239" s="8">
        <v>25.759402818562251</v>
      </c>
      <c r="E239" s="8">
        <v>24.579559066208787</v>
      </c>
      <c r="F239" s="8">
        <v>23.833189095621663</v>
      </c>
      <c r="G239" s="8">
        <v>23.314414543780458</v>
      </c>
      <c r="H239" s="8">
        <v>22.930865663168845</v>
      </c>
    </row>
    <row r="240" spans="1:8" ht="15.75" thickBot="1" x14ac:dyDescent="0.3">
      <c r="A240" s="12">
        <v>4.76</v>
      </c>
      <c r="B240" s="8">
        <v>33.807937831728907</v>
      </c>
      <c r="C240" s="8">
        <v>27.960417983985622</v>
      </c>
      <c r="D240" s="8">
        <v>25.764338721622096</v>
      </c>
      <c r="E240" s="8">
        <v>24.583473358895958</v>
      </c>
      <c r="F240" s="8">
        <v>23.836459598732745</v>
      </c>
      <c r="G240" s="8">
        <v>23.317238762478269</v>
      </c>
      <c r="H240" s="8">
        <v>22.933360580373176</v>
      </c>
    </row>
    <row r="241" spans="1:8" ht="15.75" thickBot="1" x14ac:dyDescent="0.3">
      <c r="A241" s="12">
        <v>4.7799999999999994</v>
      </c>
      <c r="B241" s="8">
        <v>33.819903533439799</v>
      </c>
      <c r="C241" s="8">
        <v>27.967242525979714</v>
      </c>
      <c r="D241" s="8">
        <v>25.769257924637657</v>
      </c>
      <c r="E241" s="8">
        <v>24.587374424412985</v>
      </c>
      <c r="F241" s="8">
        <v>23.839719059401659</v>
      </c>
      <c r="G241" s="8">
        <v>23.320053451384069</v>
      </c>
      <c r="H241" s="8">
        <v>22.935847082914393</v>
      </c>
    </row>
    <row r="242" spans="1:8" ht="15.75" thickBot="1" x14ac:dyDescent="0.3">
      <c r="A242" s="12">
        <v>4.8</v>
      </c>
      <c r="B242" s="8">
        <v>33.831828644878556</v>
      </c>
      <c r="C242" s="8">
        <v>27.974044026726403</v>
      </c>
      <c r="D242" s="8">
        <v>25.774160553954914</v>
      </c>
      <c r="E242" s="8">
        <v>24.591262362740224</v>
      </c>
      <c r="F242" s="8">
        <v>23.84296756104311</v>
      </c>
      <c r="G242" s="8">
        <v>23.322858682453102</v>
      </c>
      <c r="H242" s="8">
        <v>22.938325234305466</v>
      </c>
    </row>
    <row r="243" spans="1:8" ht="15.75" thickBot="1" x14ac:dyDescent="0.3">
      <c r="A243" s="12">
        <v>4.82</v>
      </c>
      <c r="B243" s="8">
        <v>33.843713473350533</v>
      </c>
      <c r="C243" s="8">
        <v>27.980822660084129</v>
      </c>
      <c r="D243" s="8">
        <v>25.779046734440612</v>
      </c>
      <c r="E243" s="8">
        <v>24.595137272688191</v>
      </c>
      <c r="F243" s="8">
        <v>23.84620518609637</v>
      </c>
      <c r="G243" s="8">
        <v>23.325654526799553</v>
      </c>
      <c r="H243" s="8">
        <v>22.940795097317277</v>
      </c>
    </row>
    <row r="244" spans="1:8" ht="15.75" thickBot="1" x14ac:dyDescent="0.3">
      <c r="A244" s="12">
        <v>4.84</v>
      </c>
      <c r="B244" s="8">
        <v>33.855558322564264</v>
      </c>
      <c r="C244" s="8">
        <v>27.987578597881622</v>
      </c>
      <c r="D244" s="8">
        <v>25.783916589505736</v>
      </c>
      <c r="E244" s="8">
        <v>24.598999251916325</v>
      </c>
      <c r="F244" s="8">
        <v>23.849432016040794</v>
      </c>
      <c r="G244" s="8">
        <v>23.328441054709856</v>
      </c>
      <c r="H244" s="8">
        <v>22.943256733990154</v>
      </c>
    </row>
    <row r="245" spans="1:8" ht="15.75" thickBot="1" x14ac:dyDescent="0.3">
      <c r="A245" s="12">
        <v>4.8599999999999994</v>
      </c>
      <c r="B245" s="8">
        <v>33.8673634926879</v>
      </c>
      <c r="C245" s="8">
        <v>27.994312009950136</v>
      </c>
      <c r="D245" s="8">
        <v>25.788770241128134</v>
      </c>
      <c r="E245" s="8">
        <v>24.602848396950947</v>
      </c>
      <c r="F245" s="8">
        <v>23.852648131410831</v>
      </c>
      <c r="G245" s="8">
        <v>23.331218335655649</v>
      </c>
      <c r="H245" s="8">
        <v>22.945710205645526</v>
      </c>
    </row>
    <row r="246" spans="1:8" ht="15.75" thickBot="1" x14ac:dyDescent="0.3">
      <c r="A246" s="12">
        <v>4.88</v>
      </c>
      <c r="B246" s="8">
        <v>33.879129280405266</v>
      </c>
      <c r="C246" s="8">
        <v>28.001023064154651</v>
      </c>
      <c r="D246" s="8">
        <v>25.793607809875482</v>
      </c>
      <c r="E246" s="8">
        <v>24.606684803202938</v>
      </c>
      <c r="F246" s="8">
        <v>23.855853611810971</v>
      </c>
      <c r="G246" s="8">
        <v>23.333986438306624</v>
      </c>
      <c r="H246" s="8">
        <v>22.948155572897065</v>
      </c>
    </row>
    <row r="247" spans="1:8" ht="15.75" thickBot="1" x14ac:dyDescent="0.3">
      <c r="A247" s="12">
        <v>4.9000000000000004</v>
      </c>
      <c r="B247" s="8">
        <v>33.890855978970308</v>
      </c>
      <c r="C247" s="8">
        <v>28.007711926424747</v>
      </c>
      <c r="D247" s="8">
        <v>25.798429414926773</v>
      </c>
      <c r="E247" s="8">
        <v>24.610508564985366</v>
      </c>
      <c r="F247" s="8">
        <v>23.859048535930015</v>
      </c>
      <c r="G247" s="8">
        <v>23.336745430542919</v>
      </c>
      <c r="H247" s="8">
        <v>22.950592895661885</v>
      </c>
    </row>
    <row r="248" spans="1:8" ht="15.75" thickBot="1" x14ac:dyDescent="0.3">
      <c r="A248" s="12">
        <v>4.92</v>
      </c>
      <c r="B248" s="8">
        <v>33.902543878260644</v>
      </c>
      <c r="C248" s="8">
        <v>28.014378760784609</v>
      </c>
      <c r="D248" s="8">
        <v>25.803235174094311</v>
      </c>
      <c r="E248" s="8">
        <v>24.614319775530589</v>
      </c>
      <c r="F248" s="8">
        <v>23.862232981555508</v>
      </c>
      <c r="G248" s="8">
        <v>23.339495379467451</v>
      </c>
      <c r="H248" s="8">
        <v>22.953022233171055</v>
      </c>
    </row>
    <row r="249" spans="1:8" ht="15.75" thickBot="1" x14ac:dyDescent="0.3">
      <c r="A249" s="12">
        <v>4.9399999999999995</v>
      </c>
      <c r="B249" s="8">
        <v>33.914193264830146</v>
      </c>
      <c r="C249" s="8">
        <v>28.021023729382591</v>
      </c>
      <c r="D249" s="8">
        <v>25.808025203844693</v>
      </c>
      <c r="E249" s="8">
        <v>24.618118527006573</v>
      </c>
      <c r="F249" s="8">
        <v>23.865407025587501</v>
      </c>
      <c r="G249" s="8">
        <v>23.34223635141791</v>
      </c>
      <c r="H249" s="8">
        <v>22.955443643980516</v>
      </c>
    </row>
    <row r="250" spans="1:8" ht="15.75" thickBot="1" x14ac:dyDescent="0.3">
      <c r="A250" s="12">
        <v>4.96</v>
      </c>
      <c r="B250" s="8">
        <v>33.925804421960095</v>
      </c>
      <c r="C250" s="8">
        <v>28.027646992520374</v>
      </c>
      <c r="D250" s="8">
        <v>25.812799619319662</v>
      </c>
      <c r="E250" s="8">
        <v>24.621904910533772</v>
      </c>
      <c r="F250" s="8">
        <v>23.868570744052533</v>
      </c>
      <c r="G250" s="8">
        <v>23.344968411978527</v>
      </c>
      <c r="H250" s="8">
        <v>22.957857185981425</v>
      </c>
    </row>
    <row r="251" spans="1:8" ht="15.75" thickBot="1" x14ac:dyDescent="0.3">
      <c r="A251" s="12">
        <v>4.9800000000000004</v>
      </c>
      <c r="B251" s="8">
        <v>33.937377629710056</v>
      </c>
      <c r="C251" s="8">
        <v>28.034248708681048</v>
      </c>
      <c r="D251" s="8">
        <v>25.817558534356408</v>
      </c>
      <c r="E251" s="8">
        <v>24.625679016200991</v>
      </c>
      <c r="F251" s="8">
        <v>23.871724212116703</v>
      </c>
      <c r="G251" s="8">
        <v>23.347691625991843</v>
      </c>
      <c r="H251" s="8">
        <v>22.960262916410102</v>
      </c>
    </row>
    <row r="252" spans="1:8" ht="15.75" thickBot="1" x14ac:dyDescent="0.3">
      <c r="A252" s="12">
        <v>5</v>
      </c>
      <c r="B252" s="8">
        <v>33.948913164966882</v>
      </c>
      <c r="C252" s="8">
        <v>28.040829034557248</v>
      </c>
      <c r="D252" s="8">
        <v>25.822302061507514</v>
      </c>
      <c r="E252" s="8">
        <v>24.629440933081128</v>
      </c>
      <c r="F252" s="8">
        <v>23.874867504098972</v>
      </c>
      <c r="G252" s="8">
        <v>23.350406057569728</v>
      </c>
      <c r="H252" s="8">
        <v>22.962660891858434</v>
      </c>
    </row>
    <row r="253" spans="1:8" ht="15.75" thickBot="1" x14ac:dyDescent="0.3">
      <c r="A253" s="12">
        <v>5.0199999999999996</v>
      </c>
      <c r="B253" s="8">
        <v>33.960411301493707</v>
      </c>
      <c r="C253" s="8">
        <v>28.047388125078442</v>
      </c>
      <c r="D253" s="8">
        <v>25.827030312060685</v>
      </c>
      <c r="E253" s="8">
        <v>24.633190749246808</v>
      </c>
      <c r="F253" s="8">
        <v>23.878000693484125</v>
      </c>
      <c r="G253" s="8">
        <v>23.353111770104647</v>
      </c>
      <c r="H253" s="8">
        <v>22.965051168283253</v>
      </c>
    </row>
    <row r="254" spans="1:8" ht="15.75" thickBot="1" x14ac:dyDescent="0.3">
      <c r="A254" s="12">
        <v>5.04</v>
      </c>
      <c r="B254" s="8">
        <v>33.97187230997713</v>
      </c>
      <c r="C254" s="8">
        <v>28.053926133437585</v>
      </c>
      <c r="D254" s="8">
        <v>25.831743396057675</v>
      </c>
      <c r="E254" s="8">
        <v>24.636928551785445</v>
      </c>
      <c r="F254" s="8">
        <v>23.881123852935275</v>
      </c>
      <c r="G254" s="8">
        <v>23.355808826280679</v>
      </c>
      <c r="H254" s="8">
        <v>22.967433801016341</v>
      </c>
    </row>
    <row r="255" spans="1:8" ht="15.75" thickBot="1" x14ac:dyDescent="0.3">
      <c r="A255" s="12">
        <v>5.0600000000000005</v>
      </c>
      <c r="B255" s="8">
        <v>33.983296458074108</v>
      </c>
      <c r="C255" s="8">
        <v>28.060443211117558</v>
      </c>
      <c r="D255" s="8">
        <v>25.836441422313499</v>
      </c>
      <c r="E255" s="8">
        <v>24.640654426814081</v>
      </c>
      <c r="F255" s="8">
        <v>23.884237054306368</v>
      </c>
      <c r="G255" s="8">
        <v>23.358497288083981</v>
      </c>
      <c r="H255" s="8">
        <v>22.969808844773638</v>
      </c>
    </row>
    <row r="256" spans="1:8" ht="15.75" thickBot="1" x14ac:dyDescent="0.3">
      <c r="A256" s="12">
        <v>5.08</v>
      </c>
      <c r="B256" s="8">
        <v>33.994684010457661</v>
      </c>
      <c r="C256" s="8">
        <v>28.066939507916743</v>
      </c>
      <c r="D256" s="8">
        <v>25.84112449843451</v>
      </c>
      <c r="E256" s="8">
        <v>24.644368459494274</v>
      </c>
      <c r="F256" s="8">
        <v>23.887340368654463</v>
      </c>
      <c r="G256" s="8">
        <v>23.36117721681353</v>
      </c>
      <c r="H256" s="8">
        <v>22.972176353664622</v>
      </c>
    </row>
    <row r="257" spans="1:8" ht="15.75" thickBot="1" x14ac:dyDescent="0.3">
      <c r="A257" s="12">
        <v>5.0999999999999996</v>
      </c>
      <c r="B257" s="8">
        <v>34.00603522886189</v>
      </c>
      <c r="C257" s="8">
        <v>28.073415171974659</v>
      </c>
      <c r="D257" s="8">
        <v>25.845792730836934</v>
      </c>
      <c r="E257" s="8">
        <v>24.648070734045916</v>
      </c>
      <c r="F257" s="8">
        <v>23.890433866251442</v>
      </c>
      <c r="G257" s="8">
        <v>23.363848673091184</v>
      </c>
      <c r="H257" s="8">
        <v>22.97453638120129</v>
      </c>
    </row>
    <row r="258" spans="1:8" ht="15.75" thickBot="1" x14ac:dyDescent="0.3">
      <c r="A258" s="12">
        <v>5.12</v>
      </c>
      <c r="B258" s="8">
        <v>34.017350372125861</v>
      </c>
      <c r="C258" s="8">
        <v>28.079870349796465</v>
      </c>
      <c r="D258" s="8">
        <v>25.850446224764312</v>
      </c>
      <c r="E258" s="8">
        <v>24.651761333761954</v>
      </c>
      <c r="F258" s="8">
        <v>23.89351761659583</v>
      </c>
      <c r="G258" s="8">
        <v>23.366511716871969</v>
      </c>
      <c r="H258" s="8">
        <v>22.976888980307194</v>
      </c>
    </row>
    <row r="259" spans="1:8" ht="15.75" thickBot="1" x14ac:dyDescent="0.3">
      <c r="A259" s="12">
        <v>5.1400000000000006</v>
      </c>
      <c r="B259" s="8">
        <v>34.028629696236976</v>
      </c>
      <c r="C259" s="8">
        <v>28.086305186277514</v>
      </c>
      <c r="D259" s="8">
        <v>25.855085084305131</v>
      </c>
      <c r="E259" s="8">
        <v>24.65544034102146</v>
      </c>
      <c r="F259" s="8">
        <v>23.896591688424451</v>
      </c>
      <c r="G259" s="8">
        <v>23.369166407453974</v>
      </c>
      <c r="H259" s="8">
        <v>22.97923420332603</v>
      </c>
    </row>
    <row r="260" spans="1:8" ht="15.75" thickBot="1" x14ac:dyDescent="0.3">
      <c r="A260" s="12">
        <v>5.16</v>
      </c>
      <c r="B260" s="8">
        <v>34.039873454373321</v>
      </c>
      <c r="C260" s="8">
        <v>28.092719824726998</v>
      </c>
      <c r="D260" s="8">
        <v>25.859709412409927</v>
      </c>
      <c r="E260" s="8">
        <v>24.659107837303907</v>
      </c>
      <c r="F260" s="8">
        <v>23.899656149723398</v>
      </c>
      <c r="G260" s="8">
        <v>23.371812803488012</v>
      </c>
      <c r="H260" s="8">
        <v>22.981572102030327</v>
      </c>
    </row>
    <row r="261" spans="1:8" ht="15.75" thickBot="1" x14ac:dyDescent="0.3">
      <c r="A261" s="12">
        <v>5.18</v>
      </c>
      <c r="B261" s="8">
        <v>34.051081896945448</v>
      </c>
      <c r="C261" s="8">
        <v>28.099114406891886</v>
      </c>
      <c r="D261" s="8">
        <v>25.864319310908115</v>
      </c>
      <c r="E261" s="8">
        <v>24.662763903201778</v>
      </c>
      <c r="F261" s="8">
        <v>23.902711067739403</v>
      </c>
      <c r="G261" s="8">
        <v>23.374450962987055</v>
      </c>
      <c r="H261" s="8">
        <v>22.983902727629925</v>
      </c>
    </row>
    <row r="262" spans="1:8" ht="15.75" thickBot="1" x14ac:dyDescent="0.3">
      <c r="A262" s="12">
        <v>5.1999999999999993</v>
      </c>
      <c r="B262" s="8">
        <v>34.0622552716369</v>
      </c>
      <c r="C262" s="8">
        <v>28.105489072979253</v>
      </c>
      <c r="D262" s="8">
        <v>25.868914880524414</v>
      </c>
      <c r="E262" s="8">
        <v>24.666408618434048</v>
      </c>
      <c r="F262" s="8">
        <v>23.905756508990578</v>
      </c>
      <c r="G262" s="8">
        <v>23.377080943335898</v>
      </c>
      <c r="H262" s="8">
        <v>22.98622613078004</v>
      </c>
    </row>
    <row r="263" spans="1:8" ht="15.75" thickBot="1" x14ac:dyDescent="0.3">
      <c r="A263" s="12">
        <v>5.22</v>
      </c>
      <c r="B263" s="8">
        <v>34.073393823444746</v>
      </c>
      <c r="C263" s="8">
        <v>28.111843961679483</v>
      </c>
      <c r="D263" s="8">
        <v>25.873496220895106</v>
      </c>
      <c r="E263" s="8">
        <v>24.670042061858908</v>
      </c>
      <c r="F263" s="8">
        <v>23.908792539276988</v>
      </c>
      <c r="G263" s="8">
        <v>23.379702801300198</v>
      </c>
      <c r="H263" s="8">
        <v>22.98854236158968</v>
      </c>
    </row>
    <row r="264" spans="1:8" ht="15.75" thickBot="1" x14ac:dyDescent="0.3">
      <c r="A264" s="12">
        <v>5.24</v>
      </c>
      <c r="B264" s="8">
        <v>34.084497794718516</v>
      </c>
      <c r="C264" s="8">
        <v>28.118179210188089</v>
      </c>
      <c r="D264" s="8">
        <v>25.878063430583893</v>
      </c>
      <c r="E264" s="8">
        <v>24.673664311486164</v>
      </c>
      <c r="F264" s="8">
        <v>23.911819223691396</v>
      </c>
      <c r="G264" s="8">
        <v>23.382316593035398</v>
      </c>
      <c r="H264" s="8">
        <v>22.99085146962932</v>
      </c>
    </row>
    <row r="265" spans="1:8" ht="15.75" thickBot="1" x14ac:dyDescent="0.3">
      <c r="A265" s="12">
        <v>5.26</v>
      </c>
      <c r="B265" s="8">
        <v>34.095567425199079</v>
      </c>
      <c r="C265" s="8">
        <v>28.124494954227714</v>
      </c>
      <c r="D265" s="8">
        <v>25.882616607097532</v>
      </c>
      <c r="E265" s="8">
        <v>24.67727544448968</v>
      </c>
      <c r="F265" s="8">
        <v>23.91483662662921</v>
      </c>
      <c r="G265" s="8">
        <v>23.384922374095709</v>
      </c>
      <c r="H265" s="8">
        <v>22.993153503938856</v>
      </c>
    </row>
    <row r="266" spans="1:8" ht="15.75" thickBot="1" x14ac:dyDescent="0.3">
      <c r="A266" s="12">
        <v>5.2799999999999994</v>
      </c>
      <c r="B266" s="8">
        <v>34.106602952056562</v>
      </c>
      <c r="C266" s="8">
        <v>28.130791328069165</v>
      </c>
      <c r="D266" s="8">
        <v>25.887155846901067</v>
      </c>
      <c r="E266" s="8">
        <v>24.680875537219492</v>
      </c>
      <c r="F266" s="8">
        <v>23.917844811798886</v>
      </c>
      <c r="G266" s="8">
        <v>23.387520199442804</v>
      </c>
      <c r="H266" s="8">
        <v>22.995448513035285</v>
      </c>
    </row>
    <row r="267" spans="1:8" ht="15.75" thickBot="1" x14ac:dyDescent="0.3">
      <c r="A267" s="12">
        <v>5.3</v>
      </c>
      <c r="B267" s="8">
        <v>34.117604609927412</v>
      </c>
      <c r="C267" s="8">
        <v>28.137068464552726</v>
      </c>
      <c r="D267" s="8">
        <v>25.891681245433006</v>
      </c>
      <c r="E267" s="8">
        <v>24.684464665213682</v>
      </c>
      <c r="F267" s="8">
        <v>23.920843842231534</v>
      </c>
      <c r="G267" s="8">
        <v>23.390110123454463</v>
      </c>
      <c r="H267" s="8">
        <v>22.997736544920144</v>
      </c>
    </row>
    <row r="268" spans="1:8" ht="15.75" thickBot="1" x14ac:dyDescent="0.3">
      <c r="A268" s="12">
        <v>5.32</v>
      </c>
      <c r="B268" s="8">
        <v>34.128572630951112</v>
      </c>
      <c r="C268" s="8">
        <v>28.143326495108511</v>
      </c>
      <c r="D268" s="8">
        <v>25.896192897119874</v>
      </c>
      <c r="E268" s="8">
        <v>24.688042903209976</v>
      </c>
      <c r="F268" s="8">
        <v>23.92383378029092</v>
      </c>
      <c r="G268" s="8">
        <v>23.39269219993264</v>
      </c>
      <c r="H268" s="8">
        <v>23.000017647087077</v>
      </c>
    </row>
    <row r="269" spans="1:8" ht="15.75" thickBot="1" x14ac:dyDescent="0.3">
      <c r="A269" s="12">
        <v>5.34</v>
      </c>
      <c r="B269" s="8">
        <v>34.139507244805998</v>
      </c>
      <c r="C269" s="8">
        <v>28.149565549776923</v>
      </c>
      <c r="D269" s="8">
        <v>25.900690895390937</v>
      </c>
      <c r="E269" s="8">
        <v>24.691610325157285</v>
      </c>
      <c r="F269" s="8">
        <v>23.926814687682793</v>
      </c>
      <c r="G269" s="8">
        <v>23.395266482111992</v>
      </c>
      <c r="H269" s="8">
        <v>23.002291866528992</v>
      </c>
    </row>
    <row r="270" spans="1:8" ht="15.75" thickBot="1" x14ac:dyDescent="0.3">
      <c r="A270" s="12">
        <v>5.3599999999999994</v>
      </c>
      <c r="B270" s="8">
        <v>34.150408678744498</v>
      </c>
      <c r="C270" s="8">
        <v>28.155785757228273</v>
      </c>
      <c r="D270" s="8">
        <v>25.905175332692352</v>
      </c>
      <c r="E270" s="8">
        <v>24.695167004227017</v>
      </c>
      <c r="F270" s="8">
        <v>23.929786625464487</v>
      </c>
      <c r="G270" s="8">
        <v>23.397833022667953</v>
      </c>
      <c r="H270" s="8">
        <v>23.004559249745171</v>
      </c>
    </row>
    <row r="271" spans="1:8" ht="15.75" thickBot="1" x14ac:dyDescent="0.3">
      <c r="A271" s="12">
        <v>5.38</v>
      </c>
      <c r="B271" s="8">
        <v>34.161277157627637</v>
      </c>
      <c r="C271" s="8">
        <v>28.161987244782381</v>
      </c>
      <c r="D271" s="8">
        <v>25.909646300501038</v>
      </c>
      <c r="E271" s="8">
        <v>24.69871301282393</v>
      </c>
      <c r="F271" s="8">
        <v>23.932749654053907</v>
      </c>
      <c r="G271" s="8">
        <v>23.400391873724516</v>
      </c>
      <c r="H271" s="8">
        <v>23.006819842748314</v>
      </c>
    </row>
    <row r="272" spans="1:8" ht="15.75" thickBot="1" x14ac:dyDescent="0.3">
      <c r="A272" s="12">
        <v>5.4</v>
      </c>
      <c r="B272" s="8">
        <v>34.17211290395926</v>
      </c>
      <c r="C272" s="8">
        <v>28.168170138427797</v>
      </c>
      <c r="D272" s="8">
        <v>25.914103889338605</v>
      </c>
      <c r="E272" s="8">
        <v>24.702248422597108</v>
      </c>
      <c r="F272" s="8">
        <v>23.93570383323879</v>
      </c>
      <c r="G272" s="8">
        <v>23.402943086862138</v>
      </c>
      <c r="H272" s="8">
        <v>23.009073691071478</v>
      </c>
    </row>
    <row r="273" spans="1:8" ht="15.75" thickBot="1" x14ac:dyDescent="0.3">
      <c r="A273" s="12">
        <v>5.42</v>
      </c>
      <c r="B273" s="8">
        <v>34.182916137919278</v>
      </c>
      <c r="C273" s="8">
        <v>28.174334562840386</v>
      </c>
      <c r="D273" s="8">
        <v>25.918548188784598</v>
      </c>
      <c r="E273" s="8">
        <v>24.705773304450702</v>
      </c>
      <c r="F273" s="8">
        <v>23.938649222185347</v>
      </c>
      <c r="G273" s="8">
        <v>23.405486713125356</v>
      </c>
      <c r="H273" s="8">
        <v>23.011320839774783</v>
      </c>
    </row>
    <row r="274" spans="1:8" ht="15.75" thickBot="1" x14ac:dyDescent="0.3">
      <c r="A274" s="12">
        <v>5.4399999999999995</v>
      </c>
      <c r="B274" s="8">
        <v>34.193687077396305</v>
      </c>
      <c r="C274" s="8">
        <v>28.180480641402141</v>
      </c>
      <c r="D274" s="8">
        <v>25.922979287490023</v>
      </c>
      <c r="E274" s="8">
        <v>24.709287728554216</v>
      </c>
      <c r="F274" s="8">
        <v>23.941585879447246</v>
      </c>
      <c r="G274" s="8">
        <v>23.408022803030292</v>
      </c>
      <c r="H274" s="8">
        <v>23.013561333452003</v>
      </c>
    </row>
    <row r="275" spans="1:8" ht="15.75" thickBot="1" x14ac:dyDescent="0.3">
      <c r="A275" s="12">
        <v>5.46</v>
      </c>
      <c r="B275" s="8">
        <v>34.204425938020108</v>
      </c>
      <c r="C275" s="8">
        <v>28.186608496219037</v>
      </c>
      <c r="D275" s="8">
        <v>25.927397273190081</v>
      </c>
      <c r="E275" s="8">
        <v>24.712791764352914</v>
      </c>
      <c r="F275" s="8">
        <v>23.944513862974077</v>
      </c>
      <c r="G275" s="8">
        <v>23.410551406572267</v>
      </c>
      <c r="H275" s="8">
        <v>23.015795216237109</v>
      </c>
    </row>
    <row r="276" spans="1:8" ht="15.75" thickBot="1" x14ac:dyDescent="0.3">
      <c r="A276" s="12">
        <v>5.48</v>
      </c>
      <c r="B276" s="8">
        <v>34.215132933193047</v>
      </c>
      <c r="C276" s="8">
        <v>28.192718248138988</v>
      </c>
      <c r="D276" s="8">
        <v>25.931802232717132</v>
      </c>
      <c r="E276" s="8">
        <v>24.716285480577881</v>
      </c>
      <c r="F276" s="8">
        <v>23.9474332301196</v>
      </c>
      <c r="G276" s="8">
        <v>23.413072573232625</v>
      </c>
      <c r="H276" s="8">
        <v>23.018022531810857</v>
      </c>
    </row>
    <row r="277" spans="1:8" ht="15.75" thickBot="1" x14ac:dyDescent="0.3">
      <c r="A277" s="12">
        <v>5.5</v>
      </c>
      <c r="B277" s="8">
        <v>34.225808274121277</v>
      </c>
      <c r="C277" s="8">
        <v>28.198810016769357</v>
      </c>
      <c r="D277" s="8">
        <v>25.936194252013138</v>
      </c>
      <c r="E277" s="8">
        <v>24.719768945255964</v>
      </c>
      <c r="F277" s="8">
        <v>23.950344037650495</v>
      </c>
      <c r="G277" s="8">
        <v>23.415586351986406</v>
      </c>
      <c r="H277" s="8">
        <v>23.020243323406703</v>
      </c>
    </row>
    <row r="278" spans="1:8" ht="15.75" thickBot="1" x14ac:dyDescent="0.3">
      <c r="A278" s="12">
        <v>5.52</v>
      </c>
      <c r="B278" s="8">
        <v>34.236452169845165</v>
      </c>
      <c r="C278" s="8">
        <v>28.204883920494126</v>
      </c>
      <c r="D278" s="8">
        <v>25.940573416142229</v>
      </c>
      <c r="E278" s="8">
        <v>24.723242225719503</v>
      </c>
      <c r="F278" s="8">
        <v>23.953246341753811</v>
      </c>
      <c r="G278" s="8">
        <v>23.418092791308879</v>
      </c>
      <c r="H278" s="8">
        <v>23.022457633817453</v>
      </c>
    </row>
    <row r="279" spans="1:8" ht="15.75" thickBot="1" x14ac:dyDescent="0.3">
      <c r="A279" s="12">
        <v>5.54</v>
      </c>
      <c r="B279" s="8">
        <v>34.247064827269469</v>
      </c>
      <c r="C279" s="8">
        <v>28.210940076490772</v>
      </c>
      <c r="D279" s="8">
        <v>25.944939809302468</v>
      </c>
      <c r="E279" s="8">
        <v>24.726705388615983</v>
      </c>
      <c r="F279" s="8">
        <v>23.956140198045659</v>
      </c>
      <c r="G279" s="8">
        <v>23.420591939182714</v>
      </c>
      <c r="H279" s="8">
        <v>23.024665505400947</v>
      </c>
    </row>
    <row r="280" spans="1:8" ht="15.75" thickBot="1" x14ac:dyDescent="0.3">
      <c r="A280" s="12">
        <v>5.5600000000000005</v>
      </c>
      <c r="B280" s="8">
        <v>34.2576464511925</v>
      </c>
      <c r="C280" s="8">
        <v>28.216978600747041</v>
      </c>
      <c r="D280" s="8">
        <v>25.949293514838018</v>
      </c>
      <c r="E280" s="8">
        <v>24.730158499917309</v>
      </c>
      <c r="F280" s="8">
        <v>23.959025661578551</v>
      </c>
      <c r="G280" s="8">
        <v>23.423083843104564</v>
      </c>
      <c r="H280" s="8">
        <v>23.026866980086197</v>
      </c>
    </row>
    <row r="281" spans="1:8" ht="15.75" thickBot="1" x14ac:dyDescent="0.3">
      <c r="A281" s="12">
        <v>5.58</v>
      </c>
      <c r="B281" s="8">
        <v>34.268197244335397</v>
      </c>
      <c r="C281" s="8">
        <v>28.222999608077089</v>
      </c>
      <c r="D281" s="8">
        <v>25.953634615250735</v>
      </c>
      <c r="E281" s="8">
        <v>24.733601624929292</v>
      </c>
      <c r="F281" s="8">
        <v>23.961902786849407</v>
      </c>
      <c r="G281" s="8">
        <v>23.425568550092009</v>
      </c>
      <c r="H281" s="8">
        <v>23.02906209937936</v>
      </c>
    </row>
    <row r="282" spans="1:8" ht="15.75" thickBot="1" x14ac:dyDescent="0.3">
      <c r="A282" s="12">
        <v>5.6</v>
      </c>
      <c r="B282" s="8">
        <v>34.278717407370436</v>
      </c>
      <c r="C282" s="8">
        <v>28.229003212137627</v>
      </c>
      <c r="D282" s="8">
        <v>25.957963192211878</v>
      </c>
      <c r="E282" s="8">
        <v>24.737034828300466</v>
      </c>
      <c r="F282" s="8">
        <v>23.964771627806897</v>
      </c>
      <c r="G282" s="8">
        <v>23.428046106689692</v>
      </c>
      <c r="H282" s="8">
        <v>23.031250904369301</v>
      </c>
    </row>
    <row r="283" spans="1:8" ht="15.75" thickBot="1" x14ac:dyDescent="0.3">
      <c r="A283" s="12">
        <v>5.62</v>
      </c>
      <c r="B283" s="8">
        <v>34.289207138949052</v>
      </c>
      <c r="C283" s="8">
        <v>28.234989525443723</v>
      </c>
      <c r="D283" s="8">
        <v>25.962279326573025</v>
      </c>
      <c r="E283" s="8">
        <v>24.740458174031176</v>
      </c>
      <c r="F283" s="8">
        <v>23.967632237859164</v>
      </c>
      <c r="G283" s="8">
        <v>23.430516558976194</v>
      </c>
      <c r="H283" s="8">
        <v>23.033433435733343</v>
      </c>
    </row>
    <row r="284" spans="1:8" ht="15.75" thickBot="1" x14ac:dyDescent="0.3">
      <c r="A284" s="12">
        <v>5.6400000000000006</v>
      </c>
      <c r="B284" s="8">
        <v>34.299666635729182</v>
      </c>
      <c r="C284" s="8">
        <v>28.240958659384034</v>
      </c>
      <c r="D284" s="8">
        <v>25.966583098377555</v>
      </c>
      <c r="E284" s="8">
        <v>24.74387172548245</v>
      </c>
      <c r="F284" s="8">
        <v>23.970484669880875</v>
      </c>
      <c r="G284" s="8">
        <v>23.432979952569838</v>
      </c>
      <c r="H284" s="8">
        <v>23.035609733742888</v>
      </c>
    </row>
    <row r="285" spans="1:8" ht="15.75" thickBot="1" x14ac:dyDescent="0.3">
      <c r="A285" s="12">
        <v>5.66</v>
      </c>
      <c r="B285" s="8">
        <v>34.310096092402489</v>
      </c>
      <c r="C285" s="8">
        <v>28.2469107242365</v>
      </c>
      <c r="D285" s="8">
        <v>25.970874586871446</v>
      </c>
      <c r="E285" s="8">
        <v>24.747275545384355</v>
      </c>
      <c r="F285" s="8">
        <v>23.973328976220671</v>
      </c>
      <c r="G285" s="8">
        <v>23.435436332635334</v>
      </c>
      <c r="H285" s="8">
        <v>23.037779838268818</v>
      </c>
    </row>
    <row r="286" spans="1:8" ht="15.75" thickBot="1" x14ac:dyDescent="0.3">
      <c r="A286" s="12">
        <v>5.68</v>
      </c>
      <c r="B286" s="8">
        <v>34.320495701720915</v>
      </c>
      <c r="C286" s="8">
        <v>28.252845829182888</v>
      </c>
      <c r="D286" s="8">
        <v>25.97515387051385</v>
      </c>
      <c r="E286" s="8">
        <v>24.750669695844863</v>
      </c>
      <c r="F286" s="8">
        <v>23.976165208708096</v>
      </c>
      <c r="G286" s="8">
        <v>23.437885743889694</v>
      </c>
      <c r="H286" s="8">
        <v>23.039943788787014</v>
      </c>
    </row>
    <row r="287" spans="1:8" ht="15.75" thickBot="1" x14ac:dyDescent="0.3">
      <c r="A287" s="12">
        <v>5.6999999999999993</v>
      </c>
      <c r="B287" s="8">
        <v>34.330865654522484</v>
      </c>
      <c r="C287" s="8">
        <v>28.258764082323751</v>
      </c>
      <c r="D287" s="8">
        <v>25.97942102698795</v>
      </c>
      <c r="E287" s="8">
        <v>24.75405423835781</v>
      </c>
      <c r="F287" s="8">
        <v>23.978993418660593</v>
      </c>
      <c r="G287" s="8">
        <v>23.440328230608259</v>
      </c>
      <c r="H287" s="8">
        <v>23.042101624383463</v>
      </c>
    </row>
    <row r="288" spans="1:8" ht="15.75" thickBot="1" x14ac:dyDescent="0.3">
      <c r="A288" s="12">
        <v>5.72</v>
      </c>
      <c r="B288" s="8">
        <v>34.341206139757389</v>
      </c>
      <c r="C288" s="8">
        <v>28.264665590692857</v>
      </c>
      <c r="D288" s="8">
        <v>25.983676133211077</v>
      </c>
      <c r="E288" s="8">
        <v>24.757429233811422</v>
      </c>
      <c r="F288" s="8">
        <v>23.981813656890267</v>
      </c>
      <c r="G288" s="8">
        <v>23.442763836630604</v>
      </c>
      <c r="H288" s="8">
        <v>23.044253383759553</v>
      </c>
    </row>
    <row r="289" spans="1:8" ht="15.75" thickBot="1" x14ac:dyDescent="0.3">
      <c r="A289" s="12">
        <v>5.74</v>
      </c>
      <c r="B289" s="8">
        <v>34.351517344512956</v>
      </c>
      <c r="C289" s="8">
        <v>28.270550460271295</v>
      </c>
      <c r="D289" s="8">
        <v>25.987919265345113</v>
      </c>
      <c r="E289" s="8">
        <v>24.760794742496159</v>
      </c>
      <c r="F289" s="8">
        <v>23.984625973710706</v>
      </c>
      <c r="G289" s="8">
        <v>23.445192605366231</v>
      </c>
      <c r="H289" s="8">
        <v>23.046399105237185</v>
      </c>
    </row>
    <row r="290" spans="1:8" ht="15.75" thickBot="1" x14ac:dyDescent="0.3">
      <c r="A290" s="12">
        <v>5.76</v>
      </c>
      <c r="B290" s="8">
        <v>34.361799454038533</v>
      </c>
      <c r="C290" s="8">
        <v>28.276418796001678</v>
      </c>
      <c r="D290" s="8">
        <v>25.992150498806268</v>
      </c>
      <c r="E290" s="8">
        <v>24.764150824112789</v>
      </c>
      <c r="F290" s="8">
        <v>23.987430418943745</v>
      </c>
      <c r="G290" s="8">
        <v>23.447614579800415</v>
      </c>
      <c r="H290" s="8">
        <v>23.048538826763888</v>
      </c>
    </row>
    <row r="291" spans="1:8" ht="15.75" thickBot="1" x14ac:dyDescent="0.3">
      <c r="A291" s="12">
        <v>5.7799999999999994</v>
      </c>
      <c r="B291" s="8">
        <v>34.37205265176982</v>
      </c>
      <c r="C291" s="8">
        <v>28.282270701801792</v>
      </c>
      <c r="D291" s="8">
        <v>25.996369908275312</v>
      </c>
      <c r="E291" s="8">
        <v>24.767497537780002</v>
      </c>
      <c r="F291" s="8">
        <v>23.990227041925436</v>
      </c>
      <c r="G291" s="8">
        <v>23.450029802499785</v>
      </c>
      <c r="H291" s="8">
        <v>23.050672585917539</v>
      </c>
    </row>
    <row r="292" spans="1:8" ht="15.75" thickBot="1" x14ac:dyDescent="0.3">
      <c r="A292" s="12">
        <v>5.8</v>
      </c>
      <c r="B292" s="8">
        <v>34.382277119352977</v>
      </c>
      <c r="C292" s="8">
        <v>28.288106280577949</v>
      </c>
      <c r="D292" s="8">
        <v>26.000577567706841</v>
      </c>
      <c r="E292" s="8">
        <v>24.77083494204237</v>
      </c>
      <c r="F292" s="8">
        <v>23.99301589151321</v>
      </c>
      <c r="G292" s="8">
        <v>23.452438315617826</v>
      </c>
      <c r="H292" s="8">
        <v>23.052800419911534</v>
      </c>
    </row>
    <row r="293" spans="1:8" ht="15.75" thickBot="1" x14ac:dyDescent="0.3">
      <c r="A293" s="12">
        <v>5.82</v>
      </c>
      <c r="B293" s="8">
        <v>34.39247303666815</v>
      </c>
      <c r="C293" s="8">
        <v>28.293925634238576</v>
      </c>
      <c r="D293" s="8">
        <v>26.004773550339223</v>
      </c>
      <c r="E293" s="8">
        <v>24.774163094877622</v>
      </c>
      <c r="F293" s="8">
        <v>23.995797016091387</v>
      </c>
      <c r="G293" s="8">
        <v>23.454840160900176</v>
      </c>
      <c r="H293" s="8">
        <v>23.054922365599339</v>
      </c>
    </row>
    <row r="294" spans="1:8" ht="15.75" thickBot="1" x14ac:dyDescent="0.3">
      <c r="A294" s="12">
        <v>5.84</v>
      </c>
      <c r="B294" s="8">
        <v>34.402640581852495</v>
      </c>
      <c r="C294" s="8">
        <v>28.299728863707173</v>
      </c>
      <c r="D294" s="8">
        <v>26.008957928703694</v>
      </c>
      <c r="E294" s="8">
        <v>24.777482053704148</v>
      </c>
      <c r="F294" s="8">
        <v>23.998570463577948</v>
      </c>
      <c r="G294" s="8">
        <v>23.457235379690189</v>
      </c>
      <c r="H294" s="8">
        <v>23.057038459479145</v>
      </c>
    </row>
    <row r="295" spans="1:8" ht="15.75" thickBot="1" x14ac:dyDescent="0.3">
      <c r="A295" s="12">
        <v>5.8599999999999994</v>
      </c>
      <c r="B295" s="8">
        <v>34.412779931323428</v>
      </c>
      <c r="C295" s="8">
        <v>28.305516068935106</v>
      </c>
      <c r="D295" s="8">
        <v>26.01313077463368</v>
      </c>
      <c r="E295" s="8">
        <v>24.780791875388331</v>
      </c>
      <c r="F295" s="8">
        <v>24.001336281430326</v>
      </c>
      <c r="G295" s="8">
        <v>23.459624012934</v>
      </c>
      <c r="H295" s="8">
        <v>23.059148737698877</v>
      </c>
    </row>
    <row r="296" spans="1:8" ht="15.75" thickBot="1" x14ac:dyDescent="0.3">
      <c r="A296" s="12">
        <v>5.88</v>
      </c>
      <c r="B296" s="8">
        <v>34.422891259800622</v>
      </c>
      <c r="C296" s="8">
        <v>28.311287348914504</v>
      </c>
      <c r="D296" s="8">
        <v>26.017292159273893</v>
      </c>
      <c r="E296" s="8">
        <v>24.784092616251769</v>
      </c>
      <c r="F296" s="8">
        <v>24.004094516651492</v>
      </c>
      <c r="G296" s="8">
        <v>23.462006101185693</v>
      </c>
      <c r="H296" s="8">
        <v>23.061253236060224</v>
      </c>
    </row>
    <row r="297" spans="1:8" ht="15.75" thickBot="1" x14ac:dyDescent="0.3">
      <c r="A297" s="12">
        <v>5.9</v>
      </c>
      <c r="B297" s="8">
        <v>34.432974740328177</v>
      </c>
      <c r="C297" s="8">
        <v>28.317042801690263</v>
      </c>
      <c r="D297" s="8">
        <v>26.021442153089254</v>
      </c>
      <c r="E297" s="8">
        <v>24.787384332078148</v>
      </c>
      <c r="F297" s="8">
        <v>24.006845215795749</v>
      </c>
      <c r="G297" s="8">
        <v>23.464381684612533</v>
      </c>
      <c r="H297" s="8">
        <v>23.063351990023591</v>
      </c>
    </row>
    <row r="298" spans="1:8" ht="15.75" thickBot="1" x14ac:dyDescent="0.3">
      <c r="A298" s="12">
        <v>5.92</v>
      </c>
      <c r="B298" s="8">
        <v>34.443030544296562</v>
      </c>
      <c r="C298" s="8">
        <v>28.322782524372769</v>
      </c>
      <c r="D298" s="8">
        <v>26.025580825873647</v>
      </c>
      <c r="E298" s="8">
        <v>24.79066707812035</v>
      </c>
      <c r="F298" s="8">
        <v>24.009588424974595</v>
      </c>
      <c r="G298" s="8">
        <v>23.466750802999741</v>
      </c>
      <c r="H298" s="8">
        <v>23.06544503471207</v>
      </c>
    </row>
    <row r="299" spans="1:8" ht="15.75" thickBot="1" x14ac:dyDescent="0.3">
      <c r="A299" s="12">
        <v>5.9399999999999995</v>
      </c>
      <c r="B299" s="8">
        <v>34.453058841463644</v>
      </c>
      <c r="C299" s="8">
        <v>28.328506613149671</v>
      </c>
      <c r="D299" s="8">
        <v>26.029708246758616</v>
      </c>
      <c r="E299" s="8">
        <v>24.793940909107164</v>
      </c>
      <c r="F299" s="8">
        <v>24.012324189862454</v>
      </c>
      <c r="G299" s="8">
        <v>23.469113495755551</v>
      </c>
      <c r="H299" s="8">
        <v>23.067532404916221</v>
      </c>
    </row>
    <row r="300" spans="1:8" ht="15.75" thickBot="1" x14ac:dyDescent="0.3">
      <c r="A300" s="12">
        <v>5.96</v>
      </c>
      <c r="B300" s="8">
        <v>34.463059799975952</v>
      </c>
      <c r="C300" s="8">
        <v>28.334215163297756</v>
      </c>
      <c r="D300" s="8">
        <v>26.033824484221725</v>
      </c>
      <c r="E300" s="8">
        <v>24.797205879250157</v>
      </c>
      <c r="F300" s="8">
        <v>24.015052555702084</v>
      </c>
      <c r="G300" s="8">
        <v>23.471469801916044</v>
      </c>
      <c r="H300" s="8">
        <v>23.069614135097879</v>
      </c>
    </row>
    <row r="301" spans="1:8" ht="15.75" thickBot="1" x14ac:dyDescent="0.3">
      <c r="A301" s="12">
        <v>5.98</v>
      </c>
      <c r="B301" s="8">
        <v>34.473033586389249</v>
      </c>
      <c r="C301" s="8">
        <v>28.339908269194723</v>
      </c>
      <c r="D301" s="8">
        <v>26.037929606095076</v>
      </c>
      <c r="E301" s="8">
        <v>24.800462042250217</v>
      </c>
      <c r="F301" s="8">
        <v>24.017773567310428</v>
      </c>
      <c r="G301" s="8">
        <v>23.473819760149752</v>
      </c>
      <c r="H301" s="8">
        <v>23.071690259394813</v>
      </c>
    </row>
    <row r="302" spans="1:8" ht="15.75" thickBot="1" x14ac:dyDescent="0.3">
      <c r="A302" s="12">
        <v>6</v>
      </c>
      <c r="B302" s="8">
        <v>34.482980365688832</v>
      </c>
      <c r="C302" s="8">
        <v>28.34558602433043</v>
      </c>
      <c r="D302" s="8">
        <v>26.042023679573504</v>
      </c>
      <c r="E302" s="8">
        <v>24.803709451303916</v>
      </c>
      <c r="F302" s="8">
        <v>24.020487269083674</v>
      </c>
      <c r="G302" s="8">
        <v>23.476163408762545</v>
      </c>
      <c r="H302" s="8">
        <v>23.073760811624481</v>
      </c>
    </row>
    <row r="303" spans="1:8" ht="15.75" thickBot="1" x14ac:dyDescent="0.3">
      <c r="A303" s="12">
        <v>6.02</v>
      </c>
      <c r="B303" s="8">
        <v>34.492900301309476</v>
      </c>
      <c r="C303" s="8">
        <v>28.351248521318496</v>
      </c>
      <c r="D303" s="8">
        <v>26.046106771222469</v>
      </c>
      <c r="E303" s="8">
        <v>24.80694815911005</v>
      </c>
      <c r="F303" s="8">
        <v>24.023193705002882</v>
      </c>
      <c r="G303" s="8">
        <v>23.47850078570201</v>
      </c>
      <c r="H303" s="8">
        <v>23.075825825288177</v>
      </c>
    </row>
    <row r="304" spans="1:8" ht="15.75" thickBot="1" x14ac:dyDescent="0.3">
      <c r="A304" s="12">
        <v>6.04</v>
      </c>
      <c r="B304" s="8">
        <v>34.502793555155392</v>
      </c>
      <c r="C304" s="8">
        <v>28.356895851907154</v>
      </c>
      <c r="D304" s="8">
        <v>26.050178946986421</v>
      </c>
      <c r="E304" s="8">
        <v>24.810178217876114</v>
      </c>
      <c r="F304" s="8">
        <v>24.025892918638931</v>
      </c>
      <c r="G304" s="8">
        <v>23.480831928562282</v>
      </c>
      <c r="H304" s="8">
        <v>23.077885333575125</v>
      </c>
    </row>
    <row r="305" spans="1:8" ht="15.75" thickBot="1" x14ac:dyDescent="0.3">
      <c r="A305" s="12">
        <v>6.0600000000000005</v>
      </c>
      <c r="B305" s="8">
        <v>34.512660287619269</v>
      </c>
      <c r="C305" s="8">
        <v>28.362528106990169</v>
      </c>
      <c r="D305" s="8">
        <v>26.054240272196239</v>
      </c>
      <c r="E305" s="8">
        <v>24.813399679323993</v>
      </c>
      <c r="F305" s="8">
        <v>24.028584953158088</v>
      </c>
      <c r="G305" s="8">
        <v>23.483156874588133</v>
      </c>
      <c r="H305" s="8">
        <v>23.0799393693664</v>
      </c>
    </row>
    <row r="306" spans="1:8" ht="15.75" thickBot="1" x14ac:dyDescent="0.3">
      <c r="A306" s="12">
        <v>6.08</v>
      </c>
      <c r="B306" s="8">
        <v>34.52250065760154</v>
      </c>
      <c r="C306" s="8">
        <v>28.368145376617804</v>
      </c>
      <c r="D306" s="8">
        <v>26.058290811577137</v>
      </c>
      <c r="E306" s="8">
        <v>24.816612594696664</v>
      </c>
      <c r="F306" s="8">
        <v>24.031269851326726</v>
      </c>
      <c r="G306" s="8">
        <v>23.485475660679583</v>
      </c>
      <c r="H306" s="8">
        <v>23.081987965238739</v>
      </c>
    </row>
    <row r="307" spans="1:8" ht="15.75" thickBot="1" x14ac:dyDescent="0.3">
      <c r="A307" s="12">
        <v>6.1</v>
      </c>
      <c r="B307" s="8">
        <v>34.532314822529145</v>
      </c>
      <c r="C307" s="8">
        <v>28.373747750007226</v>
      </c>
      <c r="D307" s="8">
        <v>26.062330629256394</v>
      </c>
      <c r="E307" s="8">
        <v>24.819817014763714</v>
      </c>
      <c r="F307" s="8">
        <v>24.033947655516556</v>
      </c>
      <c r="G307" s="8">
        <v>23.487788323396273</v>
      </c>
      <c r="H307" s="8">
        <v>23.084031153468402</v>
      </c>
    </row>
    <row r="308" spans="1:8" ht="15.75" thickBot="1" x14ac:dyDescent="0.3">
      <c r="A308" s="12">
        <v>6.12</v>
      </c>
      <c r="B308" s="8">
        <v>34.54210293837383</v>
      </c>
      <c r="C308" s="8">
        <v>28.379335315553021</v>
      </c>
      <c r="D308" s="8">
        <v>26.066359788770342</v>
      </c>
      <c r="E308" s="8">
        <v>24.823012989827532</v>
      </c>
      <c r="F308" s="8">
        <v>24.036618407709398</v>
      </c>
      <c r="G308" s="8">
        <v>23.490094898961445</v>
      </c>
      <c r="H308" s="8">
        <v>23.086068966034702</v>
      </c>
    </row>
    <row r="309" spans="1:8" ht="15.75" thickBot="1" x14ac:dyDescent="0.3">
      <c r="A309" s="12">
        <v>6.14</v>
      </c>
      <c r="B309" s="8">
        <v>34.551865159670569</v>
      </c>
      <c r="C309" s="8">
        <v>28.384908160837313</v>
      </c>
      <c r="D309" s="8">
        <v>26.070378353072385</v>
      </c>
      <c r="E309" s="8">
        <v>24.826200569728996</v>
      </c>
      <c r="F309" s="8">
        <v>24.039282149502128</v>
      </c>
      <c r="G309" s="8">
        <v>23.492395423266373</v>
      </c>
      <c r="H309" s="8">
        <v>23.08810143462415</v>
      </c>
    </row>
    <row r="310" spans="1:8" ht="15.75" thickBot="1" x14ac:dyDescent="0.3">
      <c r="A310" s="12">
        <v>6.16</v>
      </c>
      <c r="B310" s="8">
        <v>34.561601639535127</v>
      </c>
      <c r="C310" s="8">
        <v>28.390466372640049</v>
      </c>
      <c r="D310" s="8">
        <v>26.07438638453965</v>
      </c>
      <c r="E310" s="8">
        <v>24.829379803853271</v>
      </c>
      <c r="F310" s="8">
        <v>24.041938922111456</v>
      </c>
      <c r="G310" s="8">
        <v>23.494689931874461</v>
      </c>
      <c r="H310" s="8">
        <v>23.09012859063364</v>
      </c>
    </row>
    <row r="311" spans="1:8" ht="15.75" thickBot="1" x14ac:dyDescent="0.3">
      <c r="A311" s="12">
        <v>6.18</v>
      </c>
      <c r="B311" s="8">
        <v>34.571312529682018</v>
      </c>
      <c r="C311" s="8">
        <v>28.396010036948724</v>
      </c>
      <c r="D311" s="8">
        <v>26.078383944980487</v>
      </c>
      <c r="E311" s="8">
        <v>24.832550741135321</v>
      </c>
      <c r="F311" s="8">
        <v>24.044588766378581</v>
      </c>
      <c r="G311" s="8">
        <v>23.496978460025161</v>
      </c>
      <c r="H311" s="8">
        <v>23.0921504651742</v>
      </c>
    </row>
    <row r="312" spans="1:8" ht="15.75" thickBot="1" x14ac:dyDescent="0.3">
      <c r="A312" s="12">
        <v>6.2</v>
      </c>
      <c r="B312" s="8">
        <v>34.580997980441566</v>
      </c>
      <c r="C312" s="8">
        <v>28.401539238968383</v>
      </c>
      <c r="D312" s="8">
        <v>26.082371095641292</v>
      </c>
      <c r="E312" s="8">
        <v>24.835713430065709</v>
      </c>
      <c r="F312" s="8">
        <v>24.047231722773859</v>
      </c>
      <c r="G312" s="8">
        <v>23.499261042638068</v>
      </c>
      <c r="H312" s="8">
        <v>23.094167089074631</v>
      </c>
    </row>
    <row r="313" spans="1:8" ht="15.75" thickBot="1" x14ac:dyDescent="0.3">
      <c r="A313" s="12">
        <v>6.22</v>
      </c>
      <c r="B313" s="8">
        <v>34.59065814077718</v>
      </c>
      <c r="C313" s="8">
        <v>28.407054063131056</v>
      </c>
      <c r="D313" s="8">
        <v>26.086347897213557</v>
      </c>
      <c r="E313" s="8">
        <v>24.838867918695655</v>
      </c>
      <c r="F313" s="8">
        <v>24.049867831401343</v>
      </c>
      <c r="G313" s="8">
        <v>23.501537714316669</v>
      </c>
      <c r="H313" s="8">
        <v>23.096178492884746</v>
      </c>
    </row>
    <row r="314" spans="1:8" ht="15.75" thickBot="1" x14ac:dyDescent="0.3">
      <c r="A314" s="12">
        <v>6.24</v>
      </c>
      <c r="B314" s="8">
        <v>34.600293158302009</v>
      </c>
      <c r="C314" s="8">
        <v>28.412554593105369</v>
      </c>
      <c r="D314" s="8">
        <v>26.09031440984046</v>
      </c>
      <c r="E314" s="8">
        <v>24.842014254642891</v>
      </c>
      <c r="F314" s="8">
        <v>24.052497132003111</v>
      </c>
      <c r="G314" s="8">
        <v>23.503808509352552</v>
      </c>
      <c r="H314" s="8">
        <v>23.098184706878953</v>
      </c>
    </row>
    <row r="315" spans="1:8" ht="15.75" thickBot="1" x14ac:dyDescent="0.3">
      <c r="A315" s="12">
        <v>6.26</v>
      </c>
      <c r="B315" s="8">
        <v>34.609903179295372</v>
      </c>
      <c r="C315" s="8">
        <v>28.41804091180569</v>
      </c>
      <c r="D315" s="8">
        <v>26.094270693123747</v>
      </c>
      <c r="E315" s="8">
        <v>24.845152485096605</v>
      </c>
      <c r="F315" s="8">
        <v>24.055119663964035</v>
      </c>
      <c r="G315" s="8">
        <v>23.506073461728874</v>
      </c>
      <c r="H315" s="8">
        <v>23.100185761059493</v>
      </c>
    </row>
    <row r="316" spans="1:8" ht="15.75" thickBot="1" x14ac:dyDescent="0.3">
      <c r="A316" s="12">
        <v>6.28</v>
      </c>
      <c r="B316" s="8">
        <v>34.619488348719415</v>
      </c>
      <c r="C316" s="8">
        <v>28.423513101401625</v>
      </c>
      <c r="D316" s="8">
        <v>26.098216806130324</v>
      </c>
      <c r="E316" s="8">
        <v>24.848282656822676</v>
      </c>
      <c r="F316" s="8">
        <v>24.057735466315762</v>
      </c>
      <c r="G316" s="8">
        <v>23.508332605124338</v>
      </c>
      <c r="H316" s="8">
        <v>23.102181685159792</v>
      </c>
    </row>
    <row r="317" spans="1:8" ht="15.75" thickBot="1" x14ac:dyDescent="0.3">
      <c r="A317" s="12">
        <v>6.3</v>
      </c>
      <c r="B317" s="8">
        <v>34.629048810234849</v>
      </c>
      <c r="C317" s="8">
        <v>28.428971243326771</v>
      </c>
      <c r="D317" s="8">
        <v>26.102152807398625</v>
      </c>
      <c r="E317" s="8">
        <v>24.851404816169065</v>
      </c>
      <c r="F317" s="8">
        <v>24.060344577741205</v>
      </c>
      <c r="G317" s="8">
        <v>23.510585972916772</v>
      </c>
      <c r="H317" s="8">
        <v>23.104172508647878</v>
      </c>
    </row>
    <row r="318" spans="1:8" ht="15.75" thickBot="1" x14ac:dyDescent="0.3">
      <c r="A318" s="12">
        <v>6.32</v>
      </c>
      <c r="B318" s="8">
        <v>34.638584706216648</v>
      </c>
      <c r="C318" s="8">
        <v>28.434415418287813</v>
      </c>
      <c r="D318" s="8">
        <v>26.106078754945088</v>
      </c>
      <c r="E318" s="8">
        <v>24.854519009070543</v>
      </c>
      <c r="F318" s="8">
        <v>24.062947036578748</v>
      </c>
      <c r="G318" s="8">
        <v>23.51283359818666</v>
      </c>
      <c r="H318" s="8">
        <v>23.106158260729273</v>
      </c>
    </row>
    <row r="319" spans="1:8" ht="15.75" thickBot="1" x14ac:dyDescent="0.3">
      <c r="A319" s="12">
        <v>6.34</v>
      </c>
      <c r="B319" s="8">
        <v>34.648096177769958</v>
      </c>
      <c r="C319" s="8">
        <v>28.439845706273104</v>
      </c>
      <c r="D319" s="8">
        <v>26.109994706270413</v>
      </c>
      <c r="E319" s="8">
        <v>24.857625281053913</v>
      </c>
      <c r="F319" s="8">
        <v>24.065542880826229</v>
      </c>
      <c r="G319" s="8">
        <v>23.515075513721001</v>
      </c>
      <c r="H319" s="8">
        <v>23.10813897035041</v>
      </c>
    </row>
    <row r="320" spans="1:8" ht="15.75" thickBot="1" x14ac:dyDescent="0.3">
      <c r="A320" s="12">
        <v>6.3599999999999994</v>
      </c>
      <c r="B320" s="8">
        <v>34.657583364745108</v>
      </c>
      <c r="C320" s="8">
        <v>28.445262186561649</v>
      </c>
      <c r="D320" s="8">
        <v>26.113900718365755</v>
      </c>
      <c r="E320" s="8">
        <v>24.860723677242845</v>
      </c>
      <c r="F320" s="8">
        <v>24.06813214814531</v>
      </c>
      <c r="G320" s="8">
        <v>23.51731175201661</v>
      </c>
      <c r="H320" s="8">
        <v>23.110114666201582</v>
      </c>
    </row>
    <row r="321" spans="1:8" ht="15.75" thickBot="1" x14ac:dyDescent="0.3">
      <c r="A321" s="12">
        <v>6.38</v>
      </c>
      <c r="B321" s="8">
        <v>34.667046405752842</v>
      </c>
      <c r="C321" s="8">
        <v>28.450664937731233</v>
      </c>
      <c r="D321" s="8">
        <v>26.117796847718921</v>
      </c>
      <c r="E321" s="8">
        <v>24.863814242362594</v>
      </c>
      <c r="F321" s="8">
        <v>24.070714875865235</v>
      </c>
      <c r="G321" s="8">
        <v>23.519542345283639</v>
      </c>
      <c r="H321" s="8">
        <v>23.112085376720188</v>
      </c>
    </row>
    <row r="322" spans="1:8" ht="15.75" thickBot="1" x14ac:dyDescent="0.3">
      <c r="A322" s="12">
        <v>6.4</v>
      </c>
      <c r="B322" s="8">
        <v>34.676485438178986</v>
      </c>
      <c r="C322" s="8">
        <v>28.456054037666945</v>
      </c>
      <c r="D322" s="8">
        <v>26.12168315032028</v>
      </c>
      <c r="E322" s="8">
        <v>24.86689702074483</v>
      </c>
      <c r="F322" s="8">
        <v>24.073291100986921</v>
      </c>
      <c r="G322" s="8">
        <v>23.521767325449105</v>
      </c>
      <c r="H322" s="8">
        <v>23.114051130093571</v>
      </c>
    </row>
    <row r="323" spans="1:8" ht="15.75" thickBot="1" x14ac:dyDescent="0.3">
      <c r="A323" s="12">
        <v>6.42</v>
      </c>
      <c r="B323" s="8">
        <v>34.685900598199396</v>
      </c>
      <c r="C323" s="8">
        <v>28.461429563569538</v>
      </c>
      <c r="D323" s="8">
        <v>26.125559681668676</v>
      </c>
      <c r="E323" s="8">
        <v>24.869972056332415</v>
      </c>
      <c r="F323" s="8">
        <v>24.075860860186822</v>
      </c>
      <c r="G323" s="8">
        <v>23.523986724160011</v>
      </c>
      <c r="H323" s="8">
        <v>23.116011954262035</v>
      </c>
    </row>
    <row r="324" spans="1:8" ht="15.75" thickBot="1" x14ac:dyDescent="0.3">
      <c r="A324" s="12">
        <v>6.4399999999999995</v>
      </c>
      <c r="B324" s="8">
        <v>34.695292020793943</v>
      </c>
      <c r="C324" s="8">
        <v>28.466791591963442</v>
      </c>
      <c r="D324" s="8">
        <v>26.129426496777342</v>
      </c>
      <c r="E324" s="8">
        <v>24.87303939268395</v>
      </c>
      <c r="F324" s="8">
        <v>24.078424189820851</v>
      </c>
      <c r="G324" s="8">
        <v>23.526200572787047</v>
      </c>
      <c r="H324" s="8">
        <v>23.117967876921796</v>
      </c>
    </row>
    <row r="325" spans="1:8" ht="15.75" thickBot="1" x14ac:dyDescent="0.3">
      <c r="A325" s="12">
        <v>6.46</v>
      </c>
      <c r="B325" s="8">
        <v>34.704659839761121</v>
      </c>
      <c r="C325" s="8">
        <v>28.472140198704892</v>
      </c>
      <c r="D325" s="8">
        <v>26.133283650179635</v>
      </c>
      <c r="E325" s="8">
        <v>24.87609907297815</v>
      </c>
      <c r="F325" s="8">
        <v>24.080981125928076</v>
      </c>
      <c r="G325" s="8">
        <v>23.528408902427373</v>
      </c>
      <c r="H325" s="8">
        <v>23.119918925527941</v>
      </c>
    </row>
    <row r="326" spans="1:8" ht="15.75" thickBot="1" x14ac:dyDescent="0.3">
      <c r="A326" s="12">
        <v>6.48</v>
      </c>
      <c r="B326" s="8">
        <v>34.714004187731689</v>
      </c>
      <c r="C326" s="8">
        <v>28.477475458989545</v>
      </c>
      <c r="D326" s="8">
        <v>26.137131195934558</v>
      </c>
      <c r="E326" s="8">
        <v>24.879151140018678</v>
      </c>
      <c r="F326" s="8">
        <v>24.083531704234588</v>
      </c>
      <c r="G326" s="8">
        <v>23.530611743908253</v>
      </c>
      <c r="H326" s="8">
        <v>23.121865127297156</v>
      </c>
    </row>
    <row r="327" spans="1:8" ht="15.75" thickBot="1" x14ac:dyDescent="0.3">
      <c r="A327" s="12">
        <v>6.5</v>
      </c>
      <c r="B327" s="8">
        <v>34.723325196182714</v>
      </c>
      <c r="C327" s="8">
        <v>28.48279744736061</v>
      </c>
      <c r="D327" s="8">
        <v>26.140969187632606</v>
      </c>
      <c r="E327" s="8">
        <v>24.88219563623818</v>
      </c>
      <c r="F327" s="8">
        <v>24.086075960156904</v>
      </c>
      <c r="G327" s="8">
        <v>23.532809127790074</v>
      </c>
      <c r="H327" s="8">
        <v>23.123806509210567</v>
      </c>
    </row>
    <row r="328" spans="1:8" ht="15.75" thickBot="1" x14ac:dyDescent="0.3">
      <c r="A328" s="12">
        <v>6.52</v>
      </c>
      <c r="B328" s="8">
        <v>34.732622995450924</v>
      </c>
      <c r="C328" s="8">
        <v>28.488106237716295</v>
      </c>
      <c r="D328" s="8">
        <v>26.144797678400948</v>
      </c>
      <c r="E328" s="8">
        <v>24.885232603702946</v>
      </c>
      <c r="F328" s="8">
        <v>24.088613928806012</v>
      </c>
      <c r="G328" s="8">
        <v>23.535001084369469</v>
      </c>
      <c r="H328" s="8">
        <v>23.125743098016414</v>
      </c>
    </row>
    <row r="329" spans="1:8" ht="15.75" thickBot="1" x14ac:dyDescent="0.3">
      <c r="A329" s="12">
        <v>6.54</v>
      </c>
      <c r="B329" s="8">
        <v>34.741897714746131</v>
      </c>
      <c r="C329" s="8">
        <v>28.493401903317363</v>
      </c>
      <c r="D329" s="8">
        <v>26.148616720909104</v>
      </c>
      <c r="E329" s="8">
        <v>24.888262084116832</v>
      </c>
      <c r="F329" s="8">
        <v>24.091145644990547</v>
      </c>
      <c r="G329" s="8">
        <v>23.537187643682273</v>
      </c>
      <c r="H329" s="8">
        <v>23.127674920233005</v>
      </c>
    </row>
    <row r="330" spans="1:8" ht="15.75" thickBot="1" x14ac:dyDescent="0.3">
      <c r="A330" s="12">
        <v>6.5600000000000005</v>
      </c>
      <c r="B330" s="8">
        <v>34.751149482164578</v>
      </c>
      <c r="C330" s="8">
        <v>28.49868451679464</v>
      </c>
      <c r="D330" s="8">
        <v>26.152426367374119</v>
      </c>
      <c r="E330" s="8">
        <v>24.891284118825979</v>
      </c>
      <c r="F330" s="8">
        <v>24.093671143220433</v>
      </c>
      <c r="G330" s="8">
        <v>23.539368835506764</v>
      </c>
      <c r="H330" s="8">
        <v>23.129602002151103</v>
      </c>
    </row>
    <row r="331" spans="1:8" ht="15.75" thickBot="1" x14ac:dyDescent="0.3">
      <c r="A331" s="12">
        <v>6.58</v>
      </c>
      <c r="B331" s="8">
        <v>34.760378424701628</v>
      </c>
      <c r="C331" s="8">
        <v>28.503954150156233</v>
      </c>
      <c r="D331" s="8">
        <v>26.156226669565854</v>
      </c>
      <c r="E331" s="8">
        <v>24.894298748822393</v>
      </c>
      <c r="F331" s="8">
        <v>24.096190457710463</v>
      </c>
      <c r="G331" s="8">
        <v>23.541544689366674</v>
      </c>
      <c r="H331" s="8">
        <v>23.131524369836711</v>
      </c>
    </row>
    <row r="332" spans="1:8" ht="15.75" thickBot="1" x14ac:dyDescent="0.3">
      <c r="A332" s="12">
        <v>6.6</v>
      </c>
      <c r="B332" s="8">
        <v>34.769584668264713</v>
      </c>
      <c r="C332" s="8">
        <v>28.509210874794917</v>
      </c>
      <c r="D332" s="8">
        <v>26.160017678812324</v>
      </c>
      <c r="E332" s="8">
        <v>24.897306014748608</v>
      </c>
      <c r="F332" s="8">
        <v>24.098703622383709</v>
      </c>
      <c r="G332" s="8">
        <v>23.543715234533863</v>
      </c>
      <c r="H332" s="8">
        <v>23.133442049133748</v>
      </c>
    </row>
    <row r="333" spans="1:8" ht="15.75" thickBot="1" x14ac:dyDescent="0.3">
      <c r="A333" s="12">
        <v>6.62</v>
      </c>
      <c r="B333" s="8">
        <v>34.778768337685904</v>
      </c>
      <c r="C333" s="8">
        <v>28.514454761495017</v>
      </c>
      <c r="D333" s="8">
        <v>26.163799446004418</v>
      </c>
      <c r="E333" s="8">
        <v>24.900305956901207</v>
      </c>
      <c r="F333" s="8">
        <v>24.10121067087465</v>
      </c>
      <c r="G333" s="8">
        <v>23.545880500031387</v>
      </c>
      <c r="H333" s="8">
        <v>23.135355065666488</v>
      </c>
    </row>
    <row r="334" spans="1:8" ht="15.75" thickBot="1" x14ac:dyDescent="0.3">
      <c r="A334" s="12">
        <v>6.64</v>
      </c>
      <c r="B334" s="8">
        <v>34.787929556734355</v>
      </c>
      <c r="C334" s="8">
        <v>28.519685880439624</v>
      </c>
      <c r="D334" s="8">
        <v>26.167572021601302</v>
      </c>
      <c r="E334" s="8">
        <v>24.903298615235201</v>
      </c>
      <c r="F334" s="8">
        <v>24.103711636532694</v>
      </c>
      <c r="G334" s="8">
        <v>23.548040514636511</v>
      </c>
      <c r="H334" s="8">
        <v>23.137263444842063</v>
      </c>
    </row>
    <row r="335" spans="1:8" ht="15.75" thickBot="1" x14ac:dyDescent="0.3">
      <c r="A335" s="12">
        <v>6.66</v>
      </c>
      <c r="B335" s="8">
        <v>34.797068448128471</v>
      </c>
      <c r="C335" s="8">
        <v>28.524904301217418</v>
      </c>
      <c r="D335" s="8">
        <v>26.171335455635244</v>
      </c>
      <c r="E335" s="8">
        <v>24.906284029367669</v>
      </c>
      <c r="F335" s="8">
        <v>24.106206552425476</v>
      </c>
      <c r="G335" s="8">
        <v>23.550195306883211</v>
      </c>
      <c r="H335" s="8">
        <v>23.139167211852964</v>
      </c>
    </row>
    <row r="336" spans="1:8" ht="15.75" thickBot="1" x14ac:dyDescent="0.3">
      <c r="A336" s="12">
        <v>6.68</v>
      </c>
      <c r="B336" s="8">
        <v>34.806185133548013</v>
      </c>
      <c r="C336" s="8">
        <v>28.530110092829489</v>
      </c>
      <c r="D336" s="8">
        <v>26.17508979771651</v>
      </c>
      <c r="E336" s="8">
        <v>24.909262238581789</v>
      </c>
      <c r="F336" s="8">
        <v>24.10869545134193</v>
      </c>
      <c r="G336" s="8">
        <v>23.552344905065183</v>
      </c>
      <c r="H336" s="8">
        <v>23.141066391679715</v>
      </c>
    </row>
    <row r="337" spans="1:8" ht="15.75" thickBot="1" x14ac:dyDescent="0.3">
      <c r="A337" s="12">
        <v>6.7</v>
      </c>
      <c r="B337" s="8">
        <v>34.81527973364598</v>
      </c>
      <c r="C337" s="8">
        <v>28.535303323695928</v>
      </c>
      <c r="D337" s="8">
        <v>26.178835097038132</v>
      </c>
      <c r="E337" s="8">
        <v>24.912233281830595</v>
      </c>
      <c r="F337" s="8">
        <v>24.111178365795581</v>
      </c>
      <c r="G337" s="8">
        <v>23.554489337238579</v>
      </c>
      <c r="H337" s="8">
        <v>23.142961009092915</v>
      </c>
    </row>
    <row r="338" spans="1:8" ht="15.75" thickBot="1" x14ac:dyDescent="0.3">
      <c r="A338" s="12">
        <v>6.72</v>
      </c>
      <c r="B338" s="8">
        <v>34.824352368060318</v>
      </c>
      <c r="C338" s="8">
        <v>28.540484061662653</v>
      </c>
      <c r="D338" s="8">
        <v>26.182571402380574</v>
      </c>
      <c r="E338" s="8">
        <v>24.915197197740781</v>
      </c>
      <c r="F338" s="8">
        <v>24.113655328027676</v>
      </c>
      <c r="G338" s="8">
        <v>23.556628631224498</v>
      </c>
      <c r="H338" s="8">
        <v>23.144851088655855</v>
      </c>
    </row>
    <row r="339" spans="1:8" ht="15.75" thickBot="1" x14ac:dyDescent="0.3">
      <c r="A339" s="12">
        <v>6.74</v>
      </c>
      <c r="B339" s="8">
        <v>34.833403155425401</v>
      </c>
      <c r="C339" s="8">
        <v>28.545652374007773</v>
      </c>
      <c r="D339" s="8">
        <v>26.186298762116735</v>
      </c>
      <c r="E339" s="8">
        <v>24.918154024616172</v>
      </c>
      <c r="F339" s="8">
        <v>24.116126370010136</v>
      </c>
      <c r="G339" s="8">
        <v>23.558762814611896</v>
      </c>
      <c r="H339" s="8">
        <v>23.146736654727022</v>
      </c>
    </row>
    <row r="340" spans="1:8" ht="15.75" thickBot="1" x14ac:dyDescent="0.3">
      <c r="A340" s="12">
        <v>6.76</v>
      </c>
      <c r="B340" s="8">
        <v>34.842432213383518</v>
      </c>
      <c r="C340" s="8">
        <v>28.550808327448124</v>
      </c>
      <c r="D340" s="8">
        <v>26.190017224216149</v>
      </c>
      <c r="E340" s="8">
        <v>24.921103800441699</v>
      </c>
      <c r="F340" s="8">
        <v>24.118591523448686</v>
      </c>
      <c r="G340" s="8">
        <v>23.560891914760134</v>
      </c>
      <c r="H340" s="8">
        <v>23.148617731461854</v>
      </c>
    </row>
    <row r="341" spans="1:8" ht="15.75" thickBot="1" x14ac:dyDescent="0.3">
      <c r="A341" s="12">
        <v>6.78</v>
      </c>
      <c r="B341" s="8">
        <v>34.85143965859595</v>
      </c>
      <c r="C341" s="8">
        <v>28.555951988145466</v>
      </c>
      <c r="D341" s="8">
        <v>26.193726836249823</v>
      </c>
      <c r="E341" s="8">
        <v>24.924046562886815</v>
      </c>
      <c r="F341" s="8">
        <v>24.121050819786035</v>
      </c>
      <c r="G341" s="8">
        <v>23.563015958801316</v>
      </c>
      <c r="H341" s="8">
        <v>23.150494342815705</v>
      </c>
    </row>
    <row r="342" spans="1:8" ht="15.75" thickBot="1" x14ac:dyDescent="0.3">
      <c r="A342" s="12">
        <v>6.8</v>
      </c>
      <c r="B342" s="8">
        <v>34.860425606754291</v>
      </c>
      <c r="C342" s="8">
        <v>28.561083421712794</v>
      </c>
      <c r="D342" s="8">
        <v>26.197427645394612</v>
      </c>
      <c r="E342" s="8">
        <v>24.926982349309071</v>
      </c>
      <c r="F342" s="8">
        <v>24.12350429020438</v>
      </c>
      <c r="G342" s="8">
        <v>23.565134973643353</v>
      </c>
      <c r="H342" s="8">
        <v>23.152366512545655</v>
      </c>
    </row>
    <row r="343" spans="1:8" ht="15.75" thickBot="1" x14ac:dyDescent="0.3">
      <c r="A343" s="12">
        <v>6.82</v>
      </c>
      <c r="B343" s="8">
        <v>34.869390172590897</v>
      </c>
      <c r="C343" s="8">
        <v>28.566202693220589</v>
      </c>
      <c r="D343" s="8">
        <v>26.201119698437594</v>
      </c>
      <c r="E343" s="8">
        <v>24.92991119675753</v>
      </c>
      <c r="F343" s="8">
        <v>24.125951965628872</v>
      </c>
      <c r="G343" s="8">
        <v>23.567248985971958</v>
      </c>
      <c r="H343" s="8">
        <v>23.154234264212732</v>
      </c>
    </row>
    <row r="344" spans="1:8" ht="15.75" thickBot="1" x14ac:dyDescent="0.3">
      <c r="A344" s="12">
        <v>6.84</v>
      </c>
      <c r="B344" s="8">
        <v>34.878333469890151</v>
      </c>
      <c r="C344" s="8">
        <v>28.571309867202615</v>
      </c>
      <c r="D344" s="8">
        <v>26.204803041780508</v>
      </c>
      <c r="E344" s="8">
        <v>24.932833141976289</v>
      </c>
      <c r="F344" s="8">
        <v>24.128393876729945</v>
      </c>
      <c r="G344" s="8">
        <v>23.569358022253425</v>
      </c>
      <c r="H344" s="8">
        <v>23.156097621184415</v>
      </c>
    </row>
    <row r="345" spans="1:8" ht="15.75" thickBot="1" x14ac:dyDescent="0.3">
      <c r="A345" s="12">
        <v>6.8599999999999994</v>
      </c>
      <c r="B345" s="8">
        <v>34.887255611498688</v>
      </c>
      <c r="C345" s="8">
        <v>28.576405007662288</v>
      </c>
      <c r="D345" s="8">
        <v>26.208477721443955</v>
      </c>
      <c r="E345" s="8">
        <v>24.935748221407948</v>
      </c>
      <c r="F345" s="8">
        <v>24.130830053926616</v>
      </c>
      <c r="G345" s="8">
        <v>23.571462108736966</v>
      </c>
      <c r="H345" s="8">
        <v>23.15795660663639</v>
      </c>
    </row>
    <row r="346" spans="1:8" ht="15.75" thickBot="1" x14ac:dyDescent="0.3">
      <c r="A346" s="12">
        <v>6.88</v>
      </c>
      <c r="B346" s="8">
        <v>34.896156709335912</v>
      </c>
      <c r="C346" s="8">
        <v>28.581488178078246</v>
      </c>
      <c r="D346" s="8">
        <v>26.212143783071838</v>
      </c>
      <c r="E346" s="8">
        <v>24.938656471196794</v>
      </c>
      <c r="F346" s="8">
        <v>24.133260527388927</v>
      </c>
      <c r="G346" s="8">
        <v>23.573561271457152</v>
      </c>
      <c r="H346" s="8">
        <v>23.159811243555055</v>
      </c>
    </row>
    <row r="347" spans="1:8" ht="15.75" thickBot="1" x14ac:dyDescent="0.3">
      <c r="A347" s="12">
        <v>6.9</v>
      </c>
      <c r="B347" s="8">
        <v>34.905036874404459</v>
      </c>
      <c r="C347" s="8">
        <v>28.586559441410316</v>
      </c>
      <c r="D347" s="8">
        <v>26.21580127193522</v>
      </c>
      <c r="E347" s="8">
        <v>24.941557927192264</v>
      </c>
      <c r="F347" s="8">
        <v>24.135685327041017</v>
      </c>
      <c r="G347" s="8">
        <v>23.575655536236241</v>
      </c>
      <c r="H347" s="8">
        <v>23.161661554739226</v>
      </c>
    </row>
    <row r="348" spans="1:8" ht="15.75" thickBot="1" x14ac:dyDescent="0.3">
      <c r="A348" s="12">
        <v>6.92</v>
      </c>
      <c r="B348" s="8">
        <v>34.913896216800083</v>
      </c>
      <c r="C348" s="8">
        <v>28.5916188601052</v>
      </c>
      <c r="D348" s="8">
        <v>26.219450232936595</v>
      </c>
      <c r="E348" s="8">
        <v>24.944452624952078</v>
      </c>
      <c r="F348" s="8">
        <v>24.138104482563449</v>
      </c>
      <c r="G348" s="8">
        <v>23.577744928686627</v>
      </c>
      <c r="H348" s="8">
        <v>23.163507562802636</v>
      </c>
    </row>
    <row r="349" spans="1:8" ht="15.75" thickBot="1" x14ac:dyDescent="0.3">
      <c r="A349" s="12">
        <v>6.9399999999999995</v>
      </c>
      <c r="B349" s="8">
        <v>34.922734845722005</v>
      </c>
      <c r="C349" s="8">
        <v>28.596666496102159</v>
      </c>
      <c r="D349" s="8">
        <v>26.223090710614088</v>
      </c>
      <c r="E349" s="8">
        <v>24.947340599745417</v>
      </c>
      <c r="F349" s="8">
        <v>24.140518023396282</v>
      </c>
      <c r="G349" s="8">
        <v>23.579829474213</v>
      </c>
      <c r="H349" s="8">
        <v>23.165349290175527</v>
      </c>
    </row>
    <row r="350" spans="1:8" ht="15.75" thickBot="1" x14ac:dyDescent="0.3">
      <c r="A350" s="12">
        <v>6.96</v>
      </c>
      <c r="B350" s="8">
        <v>34.931552869482516</v>
      </c>
      <c r="C350" s="8">
        <v>28.601702410838584</v>
      </c>
      <c r="D350" s="8">
        <v>26.226722749145267</v>
      </c>
      <c r="E350" s="8">
        <v>24.950221886556278</v>
      </c>
      <c r="F350" s="8">
        <v>24.142925978741403</v>
      </c>
      <c r="G350" s="8">
        <v>23.581909198014785</v>
      </c>
      <c r="H350" s="8">
        <v>23.167186759106983</v>
      </c>
    </row>
    <row r="351" spans="1:8" ht="15.75" thickBot="1" x14ac:dyDescent="0.3">
      <c r="A351" s="12">
        <v>6.98</v>
      </c>
      <c r="B351" s="8">
        <v>34.940350395516646</v>
      </c>
      <c r="C351" s="8">
        <v>28.606726665255451</v>
      </c>
      <c r="D351" s="8">
        <v>26.230346392351009</v>
      </c>
      <c r="E351" s="8">
        <v>24.95309652008649</v>
      </c>
      <c r="F351" s="8">
        <v>24.145328377565363</v>
      </c>
      <c r="G351" s="8">
        <v>23.583984125088136</v>
      </c>
      <c r="H351" s="8">
        <v>23.169019991666858</v>
      </c>
    </row>
    <row r="352" spans="1:8" ht="15.75" thickBot="1" x14ac:dyDescent="0.3">
      <c r="A352" s="12">
        <v>7</v>
      </c>
      <c r="B352" s="8">
        <v>34.949127530392161</v>
      </c>
      <c r="C352" s="8">
        <v>28.61173931980295</v>
      </c>
      <c r="D352" s="8">
        <v>26.233961683699818</v>
      </c>
      <c r="E352" s="8">
        <v>24.955964534758607</v>
      </c>
      <c r="F352" s="8">
        <v>24.147725248601773</v>
      </c>
      <c r="G352" s="8">
        <v>23.586054280228552</v>
      </c>
      <c r="H352" s="8">
        <v>23.170849009747542</v>
      </c>
    </row>
    <row r="353" spans="1:8" ht="15.75" thickBot="1" x14ac:dyDescent="0.3">
      <c r="A353" s="12">
        <v>7.02</v>
      </c>
      <c r="B353" s="8">
        <v>34.957884379818665</v>
      </c>
      <c r="C353" s="8">
        <v>28.616740434445376</v>
      </c>
      <c r="D353" s="8">
        <v>26.23756866631112</v>
      </c>
      <c r="E353" s="8">
        <v>24.958825964719381</v>
      </c>
      <c r="F353" s="8">
        <v>24.15011662035397</v>
      </c>
      <c r="G353" s="8">
        <v>23.588119688032634</v>
      </c>
      <c r="H353" s="8">
        <v>23.172673835066121</v>
      </c>
    </row>
    <row r="354" spans="1:8" ht="15.75" thickBot="1" x14ac:dyDescent="0.3">
      <c r="A354" s="12">
        <v>7.04</v>
      </c>
      <c r="B354" s="8">
        <v>34.966621048657032</v>
      </c>
      <c r="C354" s="8">
        <v>28.621730068666977</v>
      </c>
      <c r="D354" s="8">
        <v>26.241167382959361</v>
      </c>
      <c r="E354" s="8">
        <v>24.961680843842259</v>
      </c>
      <c r="F354" s="8">
        <v>24.152502521097347</v>
      </c>
      <c r="G354" s="8">
        <v>23.590180372900477</v>
      </c>
      <c r="H354" s="8">
        <v>23.174494489166136</v>
      </c>
    </row>
    <row r="355" spans="1:8" ht="15.75" thickBot="1" x14ac:dyDescent="0.3">
      <c r="A355" s="12">
        <v>7.06</v>
      </c>
      <c r="B355" s="8">
        <v>34.975337640928728</v>
      </c>
      <c r="C355" s="8">
        <v>28.626708281476681</v>
      </c>
      <c r="D355" s="8">
        <v>26.244757876077756</v>
      </c>
      <c r="E355" s="8">
        <v>24.964529205730742</v>
      </c>
      <c r="F355" s="8">
        <v>24.154882978881972</v>
      </c>
      <c r="G355" s="8">
        <v>23.592236359037827</v>
      </c>
      <c r="H355" s="8">
        <v>23.176310993419577</v>
      </c>
    </row>
    <row r="356" spans="1:8" ht="15.75" thickBot="1" x14ac:dyDescent="0.3">
      <c r="A356" s="12">
        <v>7.08</v>
      </c>
      <c r="B356" s="8">
        <v>34.984034259824853</v>
      </c>
      <c r="C356" s="8">
        <v>28.631675131413544</v>
      </c>
      <c r="D356" s="8">
        <v>26.248340187761869</v>
      </c>
      <c r="E356" s="8">
        <v>24.967371083721105</v>
      </c>
      <c r="F356" s="8">
        <v>24.157258021535029</v>
      </c>
      <c r="G356" s="8">
        <v>23.594287670457959</v>
      </c>
      <c r="H356" s="8">
        <v>23.178123369028583</v>
      </c>
    </row>
    <row r="357" spans="1:8" ht="15.75" thickBot="1" x14ac:dyDescent="0.3">
      <c r="A357" s="12">
        <v>7.1</v>
      </c>
      <c r="B357" s="8">
        <v>34.992711007714888</v>
      </c>
      <c r="C357" s="8">
        <v>28.636630676551647</v>
      </c>
      <c r="D357" s="8">
        <v>26.251914359773252</v>
      </c>
      <c r="E357" s="8">
        <v>24.970206510885134</v>
      </c>
      <c r="F357" s="8">
        <v>24.159627676663092</v>
      </c>
      <c r="G357" s="8">
        <v>23.596334330984007</v>
      </c>
      <c r="H357" s="8">
        <v>23.17993163702738</v>
      </c>
    </row>
    <row r="358" spans="1:8" ht="15.75" thickBot="1" x14ac:dyDescent="0.3">
      <c r="A358" s="12">
        <v>7.12</v>
      </c>
      <c r="B358" s="8">
        <v>35.001367986155913</v>
      </c>
      <c r="C358" s="8">
        <v>28.641574974505147</v>
      </c>
      <c r="D358" s="8">
        <v>26.255480433543084</v>
      </c>
      <c r="E358" s="8">
        <v>24.973035520033363</v>
      </c>
      <c r="F358" s="8">
        <v>24.161991971654516</v>
      </c>
      <c r="G358" s="8">
        <v>23.598376364250896</v>
      </c>
      <c r="H358" s="8">
        <v>23.181735818283926</v>
      </c>
    </row>
    <row r="359" spans="1:8" ht="15.75" thickBot="1" x14ac:dyDescent="0.3">
      <c r="A359" s="12">
        <v>7.14</v>
      </c>
      <c r="B359" s="8">
        <v>35.010005295901067</v>
      </c>
      <c r="C359" s="8">
        <v>28.646508082433172</v>
      </c>
      <c r="D359" s="8">
        <v>26.259038450175638</v>
      </c>
      <c r="E359" s="8">
        <v>24.97585814371746</v>
      </c>
      <c r="F359" s="8">
        <v>24.164350933681817</v>
      </c>
      <c r="G359" s="8">
        <v>23.600413793707162</v>
      </c>
      <c r="H359" s="8">
        <v>23.183535933502014</v>
      </c>
    </row>
    <row r="360" spans="1:8" ht="15.75" thickBot="1" x14ac:dyDescent="0.3">
      <c r="A360" s="12">
        <v>7.16</v>
      </c>
      <c r="B360" s="8">
        <v>35.018623036908139</v>
      </c>
      <c r="C360" s="8">
        <v>28.651430057044706</v>
      </c>
      <c r="D360" s="8">
        <v>26.262588450451915</v>
      </c>
      <c r="E360" s="8">
        <v>24.97867441423324</v>
      </c>
      <c r="F360" s="8">
        <v>24.166704589704068</v>
      </c>
      <c r="G360" s="8">
        <v>23.602446642617281</v>
      </c>
      <c r="H360" s="8">
        <v>23.185332003222697</v>
      </c>
    </row>
    <row r="361" spans="1:8" ht="15.75" thickBot="1" x14ac:dyDescent="0.3">
      <c r="A361" s="12">
        <v>7.18</v>
      </c>
      <c r="B361" s="8">
        <v>35.027221308348203</v>
      </c>
      <c r="C361" s="8">
        <v>28.656340954603422</v>
      </c>
      <c r="D361" s="8">
        <v>26.266130474832835</v>
      </c>
      <c r="E361" s="8">
        <v>24.981484363623281</v>
      </c>
      <c r="F361" s="8">
        <v>24.169052966468939</v>
      </c>
      <c r="G361" s="8">
        <v>23.604474934063433</v>
      </c>
      <c r="H361" s="8">
        <v>23.187124047826103</v>
      </c>
    </row>
    <row r="362" spans="1:8" ht="15.75" thickBot="1" x14ac:dyDescent="0.3">
      <c r="A362" s="12">
        <v>7.2</v>
      </c>
      <c r="B362" s="8">
        <v>35.035800208613978</v>
      </c>
      <c r="C362" s="8">
        <v>28.661240830932343</v>
      </c>
      <c r="D362" s="8">
        <v>26.269664563462868</v>
      </c>
      <c r="E362" s="8">
        <v>24.984288023679653</v>
      </c>
      <c r="F362" s="8">
        <v>24.171396090515032</v>
      </c>
      <c r="G362" s="8">
        <v>23.606498690947433</v>
      </c>
      <c r="H362" s="8">
        <v>23.188912087533197</v>
      </c>
    </row>
    <row r="363" spans="1:8" ht="15.75" thickBot="1" x14ac:dyDescent="0.3">
      <c r="A363" s="12">
        <v>7.22</v>
      </c>
      <c r="B363" s="8">
        <v>35.044359835327953</v>
      </c>
      <c r="C363" s="8">
        <v>28.666129741418501</v>
      </c>
      <c r="D363" s="8">
        <v>26.273190756173221</v>
      </c>
      <c r="E363" s="8">
        <v>24.987085425946532</v>
      </c>
      <c r="F363" s="8">
        <v>24.173733988174263</v>
      </c>
      <c r="G363" s="8">
        <v>23.608517935992609</v>
      </c>
      <c r="H363" s="8">
        <v>23.190696142407489</v>
      </c>
    </row>
    <row r="364" spans="1:8" ht="15.75" thickBot="1" x14ac:dyDescent="0.3">
      <c r="A364" s="12">
        <v>7.24</v>
      </c>
      <c r="B364" s="8">
        <v>35.052900285350574</v>
      </c>
      <c r="C364" s="8">
        <v>28.671007741017604</v>
      </c>
      <c r="D364" s="8">
        <v>26.276709092485419</v>
      </c>
      <c r="E364" s="8">
        <v>24.989876601722813</v>
      </c>
      <c r="F364" s="8">
        <v>24.176066685573801</v>
      </c>
      <c r="G364" s="8">
        <v>23.610532691745846</v>
      </c>
      <c r="H364" s="8">
        <v>23.192476232356626</v>
      </c>
    </row>
    <row r="365" spans="1:8" ht="15.75" thickBot="1" x14ac:dyDescent="0.3">
      <c r="A365" s="12">
        <v>7.26</v>
      </c>
      <c r="B365" s="8">
        <v>35.061421654788433</v>
      </c>
      <c r="C365" s="8">
        <v>28.675874884258576</v>
      </c>
      <c r="D365" s="8">
        <v>26.280219611614029</v>
      </c>
      <c r="E365" s="8">
        <v>24.992661582064784</v>
      </c>
      <c r="F365" s="8">
        <v>24.178394208638281</v>
      </c>
      <c r="G365" s="8">
        <v>23.612542980579235</v>
      </c>
      <c r="H365" s="8">
        <v>23.194252377133921</v>
      </c>
    </row>
    <row r="366" spans="1:8" ht="15.75" thickBot="1" x14ac:dyDescent="0.3">
      <c r="A366" s="12">
        <v>7.28</v>
      </c>
      <c r="B366" s="8">
        <v>35.06992403900199</v>
      </c>
      <c r="C366" s="8">
        <v>28.680731225247939</v>
      </c>
      <c r="D366" s="8">
        <v>26.283722352470534</v>
      </c>
      <c r="E366" s="8">
        <v>24.995440397788514</v>
      </c>
      <c r="F366" s="8">
        <v>24.180716583092078</v>
      </c>
      <c r="G366" s="8">
        <v>23.614548824692065</v>
      </c>
      <c r="H366" s="8">
        <v>23.196024596340294</v>
      </c>
    </row>
    <row r="367" spans="1:8" ht="15.75" thickBot="1" x14ac:dyDescent="0.3">
      <c r="A367" s="12">
        <v>7.3</v>
      </c>
      <c r="B367" s="8">
        <v>35.078407532613653</v>
      </c>
      <c r="C367" s="8">
        <v>28.685576817674473</v>
      </c>
      <c r="D367" s="8">
        <v>26.287217353665994</v>
      </c>
      <c r="E367" s="8">
        <v>24.998213079472464</v>
      </c>
      <c r="F367" s="8">
        <v>24.183033834461241</v>
      </c>
      <c r="G367" s="8">
        <v>23.616550246112638</v>
      </c>
      <c r="H367" s="8">
        <v>23.197792909425516</v>
      </c>
    </row>
    <row r="368" spans="1:8" ht="15.75" thickBot="1" x14ac:dyDescent="0.3">
      <c r="A368" s="12">
        <v>7.32</v>
      </c>
      <c r="B368" s="8">
        <v>35.086872229515166</v>
      </c>
      <c r="C368" s="8">
        <v>28.690411714813195</v>
      </c>
      <c r="D368" s="8">
        <v>26.29070465351441</v>
      </c>
      <c r="E368" s="8">
        <v>25.000979657459936</v>
      </c>
      <c r="F368" s="8">
        <v>24.185345988075483</v>
      </c>
      <c r="G368" s="8">
        <v>23.61854726669975</v>
      </c>
      <c r="H368" s="8">
        <v>23.199557335689974</v>
      </c>
    </row>
    <row r="369" spans="1:8" ht="15.75" thickBot="1" x14ac:dyDescent="0.3">
      <c r="A369" s="12">
        <v>7.34</v>
      </c>
      <c r="B369" s="8">
        <v>35.095318222875619</v>
      </c>
      <c r="C369" s="8">
        <v>28.695235969530131</v>
      </c>
      <c r="D369" s="8">
        <v>26.294184290035844</v>
      </c>
      <c r="E369" s="8">
        <v>25.003740161861685</v>
      </c>
      <c r="F369" s="8">
        <v>24.18765306907062</v>
      </c>
      <c r="G369" s="8">
        <v>23.620539908144963</v>
      </c>
      <c r="H369" s="8">
        <v>23.201317894286206</v>
      </c>
    </row>
    <row r="370" spans="1:8" ht="15.75" thickBot="1" x14ac:dyDescent="0.3">
      <c r="A370" s="12">
        <v>7.36</v>
      </c>
      <c r="B370" s="8">
        <v>35.103745605148731</v>
      </c>
      <c r="C370" s="8">
        <v>28.700049634286188</v>
      </c>
      <c r="D370" s="8">
        <v>26.297656300959318</v>
      </c>
      <c r="E370" s="8">
        <v>25.006494622557909</v>
      </c>
      <c r="F370" s="8">
        <v>24.189955102390002</v>
      </c>
      <c r="G370" s="8">
        <v>23.622528191973856</v>
      </c>
      <c r="H370" s="8">
        <v>23.203074604220376</v>
      </c>
    </row>
    <row r="371" spans="1:8" ht="15.75" thickBot="1" x14ac:dyDescent="0.3">
      <c r="A371" s="12">
        <v>7.38</v>
      </c>
      <c r="B371" s="8">
        <v>35.112154468080234</v>
      </c>
      <c r="C371" s="8">
        <v>28.704852761141467</v>
      </c>
      <c r="D371" s="8">
        <v>26.301120723725944</v>
      </c>
      <c r="E371" s="8">
        <v>25.009243069201148</v>
      </c>
      <c r="F371" s="8">
        <v>24.19225211278706</v>
      </c>
      <c r="G371" s="8">
        <v>23.624512139548074</v>
      </c>
      <c r="H371" s="8">
        <v>23.204827484353928</v>
      </c>
    </row>
    <row r="372" spans="1:8" ht="15.75" thickBot="1" x14ac:dyDescent="0.3">
      <c r="A372" s="12">
        <v>7.4</v>
      </c>
      <c r="B372" s="8">
        <v>35.120544902715324</v>
      </c>
      <c r="C372" s="8">
        <v>28.709645401759531</v>
      </c>
      <c r="D372" s="8">
        <v>26.304577595491878</v>
      </c>
      <c r="E372" s="8">
        <v>25.011985531218272</v>
      </c>
      <c r="F372" s="8">
        <v>24.194544124826848</v>
      </c>
      <c r="G372" s="8">
        <v>23.6264917720668</v>
      </c>
      <c r="H372" s="8">
        <v>23.20657655340483</v>
      </c>
    </row>
    <row r="373" spans="1:8" ht="15.75" thickBot="1" x14ac:dyDescent="0.3">
      <c r="A373" s="12">
        <v>7.42</v>
      </c>
      <c r="B373" s="8">
        <v>35.128916999405988</v>
      </c>
      <c r="C373" s="8">
        <v>28.714427607411437</v>
      </c>
      <c r="D373" s="8">
        <v>26.308026953131275</v>
      </c>
      <c r="E373" s="8">
        <v>25.01472203781293</v>
      </c>
      <c r="F373" s="8">
        <v>24.196831162888202</v>
      </c>
      <c r="G373" s="8">
        <v>23.628467110568522</v>
      </c>
      <c r="H373" s="8">
        <v>23.208321829949227</v>
      </c>
    </row>
    <row r="374" spans="1:8" ht="15.75" thickBot="1" x14ac:dyDescent="0.3">
      <c r="A374" s="12">
        <v>7.4399999999999995</v>
      </c>
      <c r="B374" s="8">
        <v>35.137270847817945</v>
      </c>
      <c r="C374" s="8">
        <v>28.719199428979493</v>
      </c>
      <c r="D374" s="8">
        <v>26.311468833239076</v>
      </c>
      <c r="E374" s="8">
        <v>25.01745261796782</v>
      </c>
      <c r="F374" s="8">
        <v>24.19911325116567</v>
      </c>
      <c r="G374" s="8">
        <v>23.630438175932795</v>
      </c>
      <c r="H374" s="8">
        <v>23.210063332422919</v>
      </c>
    </row>
    <row r="375" spans="1:8" ht="15.75" thickBot="1" x14ac:dyDescent="0.3">
      <c r="A375" s="12">
        <v>7.46</v>
      </c>
      <c r="B375" s="8">
        <v>35.145606536937692</v>
      </c>
      <c r="C375" s="8">
        <v>28.723960916961744</v>
      </c>
      <c r="D375" s="8">
        <v>26.314903272133961</v>
      </c>
      <c r="E375" s="8">
        <v>25.020177300447074</v>
      </c>
      <c r="F375" s="8">
        <v>24.20139041367122</v>
      </c>
      <c r="G375" s="8">
        <v>23.63240498888166</v>
      </c>
      <c r="H375" s="8">
        <v>23.211801079122665</v>
      </c>
    </row>
    <row r="376" spans="1:8" ht="15.75" thickBot="1" x14ac:dyDescent="0.3">
      <c r="A376" s="12">
        <v>7.48</v>
      </c>
      <c r="B376" s="8">
        <v>35.153924155079665</v>
      </c>
      <c r="C376" s="8">
        <v>28.728712121475496</v>
      </c>
      <c r="D376" s="8">
        <v>26.318330305861252</v>
      </c>
      <c r="E376" s="8">
        <v>25.022896113798197</v>
      </c>
      <c r="F376" s="8">
        <v>24.203662674236227</v>
      </c>
      <c r="G376" s="8">
        <v>23.634367569981293</v>
      </c>
      <c r="H376" s="8">
        <v>23.213535088207777</v>
      </c>
    </row>
    <row r="377" spans="1:8" ht="15.75" thickBot="1" x14ac:dyDescent="0.3">
      <c r="A377" s="12">
        <v>7.5</v>
      </c>
      <c r="B377" s="8">
        <v>35.162223789892948</v>
      </c>
      <c r="C377" s="8">
        <v>28.7334530922613</v>
      </c>
      <c r="D377" s="8">
        <v>26.321749970195469</v>
      </c>
      <c r="E377" s="8">
        <v>25.025609086354621</v>
      </c>
      <c r="F377" s="8">
        <v>24.205930056513409</v>
      </c>
      <c r="G377" s="8">
        <v>23.636325939643655</v>
      </c>
      <c r="H377" s="8">
        <v>23.215265377701314</v>
      </c>
    </row>
    <row r="378" spans="1:8" ht="15.75" thickBot="1" x14ac:dyDescent="0.3">
      <c r="A378" s="12">
        <v>7.52</v>
      </c>
      <c r="B378" s="8">
        <v>35.170505528367926</v>
      </c>
      <c r="C378" s="8">
        <v>28.738183878686868</v>
      </c>
      <c r="D378" s="8">
        <v>26.325162300643228</v>
      </c>
      <c r="E378" s="8">
        <v>25.02831624623758</v>
      </c>
      <c r="F378" s="8">
        <v>24.208192583978303</v>
      </c>
      <c r="G378" s="8">
        <v>23.638280118128193</v>
      </c>
      <c r="H378" s="8">
        <v>23.216991965491616</v>
      </c>
    </row>
    <row r="379" spans="1:8" ht="15.75" thickBot="1" x14ac:dyDescent="0.3">
      <c r="A379" s="12">
        <v>7.54</v>
      </c>
      <c r="B379" s="8">
        <v>35.178769456843384</v>
      </c>
      <c r="C379" s="8">
        <v>28.742904529750888</v>
      </c>
      <c r="D379" s="8">
        <v>26.328567332446084</v>
      </c>
      <c r="E379" s="8">
        <v>25.031017621358558</v>
      </c>
      <c r="F379" s="8">
        <v>24.210450279931536</v>
      </c>
      <c r="G379" s="8">
        <v>23.640230125542985</v>
      </c>
      <c r="H379" s="8">
        <v>23.21871486933361</v>
      </c>
    </row>
    <row r="380" spans="1:8" ht="15.75" thickBot="1" x14ac:dyDescent="0.3">
      <c r="A380" s="12">
        <v>7.56</v>
      </c>
      <c r="B380" s="8">
        <v>35.187015661012651</v>
      </c>
      <c r="C380" s="8">
        <v>28.747615094086541</v>
      </c>
      <c r="D380" s="8">
        <v>26.331965100582863</v>
      </c>
      <c r="E380" s="8">
        <v>25.033713239421047</v>
      </c>
      <c r="F380" s="8">
        <v>24.212703167500081</v>
      </c>
      <c r="G380" s="8">
        <v>23.642175981846719</v>
      </c>
      <c r="H380" s="8">
        <v>23.220434106850121</v>
      </c>
    </row>
    <row r="381" spans="1:8" ht="15.75" thickBot="1" x14ac:dyDescent="0.3">
      <c r="A381" s="12">
        <v>7.58</v>
      </c>
      <c r="B381" s="8">
        <v>35.19524422593048</v>
      </c>
      <c r="C381" s="8">
        <v>28.752315619965316</v>
      </c>
      <c r="D381" s="8">
        <v>26.335355639772615</v>
      </c>
      <c r="E381" s="8">
        <v>25.036403127922938</v>
      </c>
      <c r="F381" s="8">
        <v>24.214951269639528</v>
      </c>
      <c r="G381" s="8">
        <v>23.64411770684984</v>
      </c>
      <c r="H381" s="8">
        <v>23.22214969553329</v>
      </c>
    </row>
    <row r="382" spans="1:8" ht="15.75" thickBot="1" x14ac:dyDescent="0.3">
      <c r="A382" s="12">
        <v>7.6</v>
      </c>
      <c r="B382" s="8">
        <v>35.203455236019181</v>
      </c>
      <c r="C382" s="8">
        <v>28.757006155300701</v>
      </c>
      <c r="D382" s="8">
        <v>26.338738984477118</v>
      </c>
      <c r="E382" s="8">
        <v>25.039087314158451</v>
      </c>
      <c r="F382" s="8">
        <v>24.21719460913522</v>
      </c>
      <c r="G382" s="8">
        <v>23.646055320216306</v>
      </c>
      <c r="H382" s="8">
        <v>23.223861652745825</v>
      </c>
    </row>
    <row r="383" spans="1:8" ht="15.75" thickBot="1" x14ac:dyDescent="0.3">
      <c r="A383" s="12">
        <v>7.62</v>
      </c>
      <c r="B383" s="8">
        <v>35.211648775075275</v>
      </c>
      <c r="C383" s="8">
        <v>28.761686747651822</v>
      </c>
      <c r="D383" s="8">
        <v>26.342115168903433</v>
      </c>
      <c r="E383" s="8">
        <v>25.041765825220239</v>
      </c>
      <c r="F383" s="8">
        <v>24.219433208604585</v>
      </c>
      <c r="G383" s="8">
        <v>23.647988841464837</v>
      </c>
      <c r="H383" s="8">
        <v>23.225569995722367</v>
      </c>
    </row>
    <row r="384" spans="1:8" ht="15.75" thickBot="1" x14ac:dyDescent="0.3">
      <c r="A384" s="12">
        <v>7.64</v>
      </c>
      <c r="B384" s="8">
        <v>35.219824926275521</v>
      </c>
      <c r="C384" s="8">
        <v>28.766357444226628</v>
      </c>
      <c r="D384" s="8">
        <v>26.345484227006523</v>
      </c>
      <c r="E384" s="8">
        <v>25.044438688001435</v>
      </c>
      <c r="F384" s="8">
        <v>24.221667090498272</v>
      </c>
      <c r="G384" s="8">
        <v>23.649918289970515</v>
      </c>
      <c r="H384" s="8">
        <v>23.227274741570568</v>
      </c>
    </row>
    <row r="385" spans="1:8" ht="15.75" thickBot="1" x14ac:dyDescent="0.3">
      <c r="A385" s="12">
        <v>7.66</v>
      </c>
      <c r="B385" s="8">
        <v>35.227983772183279</v>
      </c>
      <c r="C385" s="8">
        <v>28.77101829188598</v>
      </c>
      <c r="D385" s="8">
        <v>26.348846192491635</v>
      </c>
      <c r="E385" s="8">
        <v>25.047105929197357</v>
      </c>
      <c r="F385" s="8">
        <v>24.223896277102199</v>
      </c>
      <c r="G385" s="8">
        <v>23.651843684966252</v>
      </c>
      <c r="H385" s="8">
        <v>23.228975907272684</v>
      </c>
    </row>
    <row r="386" spans="1:8" ht="15.75" thickBot="1" x14ac:dyDescent="0.3">
      <c r="A386" s="12">
        <v>7.68</v>
      </c>
      <c r="B386" s="8">
        <v>35.236125394754538</v>
      </c>
      <c r="C386" s="8">
        <v>28.775669337146496</v>
      </c>
      <c r="D386" s="8">
        <v>26.352201098817034</v>
      </c>
      <c r="E386" s="8">
        <v>25.049767575307953</v>
      </c>
      <c r="F386" s="8">
        <v>24.226120790538914</v>
      </c>
      <c r="G386" s="8">
        <v>23.653765045543878</v>
      </c>
      <c r="H386" s="8">
        <v>23.230673509686483</v>
      </c>
    </row>
    <row r="387" spans="1:8" ht="15.75" thickBot="1" x14ac:dyDescent="0.3">
      <c r="A387" s="12">
        <v>7.7</v>
      </c>
      <c r="B387" s="8">
        <v>35.244249875343939</v>
      </c>
      <c r="C387" s="8">
        <v>28.780310626184416</v>
      </c>
      <c r="D387" s="8">
        <v>26.355548979196044</v>
      </c>
      <c r="E387" s="8">
        <v>25.052423652639334</v>
      </c>
      <c r="F387" s="8">
        <v>24.228340652769418</v>
      </c>
      <c r="G387" s="8">
        <v>23.655682390656068</v>
      </c>
      <c r="H387" s="8">
        <v>23.232367565546724</v>
      </c>
    </row>
    <row r="388" spans="1:8" ht="15.75" thickBot="1" x14ac:dyDescent="0.3">
      <c r="A388" s="12">
        <v>7.72</v>
      </c>
      <c r="B388" s="8">
        <v>35.252357294710919</v>
      </c>
      <c r="C388" s="8">
        <v>28.784942204838842</v>
      </c>
      <c r="D388" s="8">
        <v>26.358889866599952</v>
      </c>
      <c r="E388" s="8">
        <v>25.05507418730582</v>
      </c>
      <c r="F388" s="8">
        <v>24.23055588559464</v>
      </c>
      <c r="G388" s="8">
        <v>23.657595739117198</v>
      </c>
      <c r="H388" s="8">
        <v>23.234058091466238</v>
      </c>
    </row>
    <row r="389" spans="1:8" ht="15.75" thickBot="1" x14ac:dyDescent="0.3">
      <c r="A389" s="12">
        <v>7.74</v>
      </c>
      <c r="B389" s="8">
        <v>35.260447733025387</v>
      </c>
      <c r="C389" s="8">
        <v>28.789564118614919</v>
      </c>
      <c r="D389" s="8">
        <v>26.362223793760052</v>
      </c>
      <c r="E389" s="8">
        <v>25.05771920523199</v>
      </c>
      <c r="F389" s="8">
        <v>24.232766510657029</v>
      </c>
      <c r="G389" s="8">
        <v>23.659505109605107</v>
      </c>
      <c r="H389" s="8">
        <v>23.235745103937177</v>
      </c>
    </row>
    <row r="390" spans="1:8" ht="15.75" thickBot="1" x14ac:dyDescent="0.3">
      <c r="A390" s="12">
        <v>7.76</v>
      </c>
      <c r="B390" s="8">
        <v>35.268521269873588</v>
      </c>
      <c r="C390" s="8">
        <v>28.794176412687307</v>
      </c>
      <c r="D390" s="8">
        <v>26.365550793170144</v>
      </c>
      <c r="E390" s="8">
        <v>25.060358732154214</v>
      </c>
      <c r="F390" s="8">
        <v>24.234972549442261</v>
      </c>
      <c r="G390" s="8">
        <v>23.661410520662059</v>
      </c>
      <c r="H390" s="8">
        <v>23.237428619332263</v>
      </c>
    </row>
    <row r="391" spans="1:8" ht="15.75" thickBot="1" x14ac:dyDescent="0.3">
      <c r="A391" s="12">
        <v>7.78</v>
      </c>
      <c r="B391" s="8">
        <v>35.276577984263952</v>
      </c>
      <c r="C391" s="8">
        <v>28.798779131903473</v>
      </c>
      <c r="D391" s="8">
        <v>26.368870897088755</v>
      </c>
      <c r="E391" s="8">
        <v>25.062992793622868</v>
      </c>
      <c r="F391" s="8">
        <v>24.237174023280488</v>
      </c>
      <c r="G391" s="8">
        <v>23.663311990696513</v>
      </c>
      <c r="H391" s="8">
        <v>23.23910865390576</v>
      </c>
    </row>
    <row r="392" spans="1:8" ht="15.75" thickBot="1" x14ac:dyDescent="0.3">
      <c r="A392" s="12">
        <v>7.8</v>
      </c>
      <c r="B392" s="8">
        <v>35.284617954632665</v>
      </c>
      <c r="C392" s="8">
        <v>28.80337232078665</v>
      </c>
      <c r="D392" s="8">
        <v>26.372184137541694</v>
      </c>
      <c r="E392" s="8">
        <v>25.065621415003875</v>
      </c>
      <c r="F392" s="8">
        <v>24.2393709533481</v>
      </c>
      <c r="G392" s="8">
        <v>23.665209537984083</v>
      </c>
      <c r="H392" s="8">
        <v>23.240785223794887</v>
      </c>
    </row>
    <row r="393" spans="1:8" ht="15.75" thickBot="1" x14ac:dyDescent="0.3">
      <c r="A393" s="12">
        <v>7.82</v>
      </c>
      <c r="B393" s="8">
        <v>35.292641258849301</v>
      </c>
      <c r="C393" s="8">
        <v>28.807956023539134</v>
      </c>
      <c r="D393" s="8">
        <v>26.375490546323931</v>
      </c>
      <c r="E393" s="8">
        <v>25.068244621480687</v>
      </c>
      <c r="F393" s="8">
        <v>24.241563360669204</v>
      </c>
      <c r="G393" s="8">
        <v>23.66710318066896</v>
      </c>
      <c r="H393" s="8">
        <v>23.242458345020793</v>
      </c>
    </row>
    <row r="394" spans="1:8" ht="15.75" thickBot="1" x14ac:dyDescent="0.3">
      <c r="A394" s="12">
        <v>7.84</v>
      </c>
      <c r="B394" s="8">
        <v>35.3006479742225</v>
      </c>
      <c r="C394" s="8">
        <v>28.812530284045636</v>
      </c>
      <c r="D394" s="8">
        <v>26.378790155002378</v>
      </c>
      <c r="E394" s="8">
        <v>25.070862438055826</v>
      </c>
      <c r="F394" s="8">
        <v>24.243751266116988</v>
      </c>
      <c r="G394" s="8">
        <v>23.668992936765221</v>
      </c>
      <c r="H394" s="8">
        <v>23.244128033489744</v>
      </c>
    </row>
    <row r="395" spans="1:8" ht="15.75" thickBot="1" x14ac:dyDescent="0.3">
      <c r="A395" s="12">
        <v>7.86</v>
      </c>
      <c r="B395" s="8">
        <v>35.308638177505202</v>
      </c>
      <c r="C395" s="8">
        <v>28.817095145875896</v>
      </c>
      <c r="D395" s="8">
        <v>26.382082994917539</v>
      </c>
      <c r="E395" s="8">
        <v>25.07347488955304</v>
      </c>
      <c r="F395" s="8">
        <v>24.245934690415254</v>
      </c>
      <c r="G395" s="8">
        <v>23.67087882415791</v>
      </c>
      <c r="H395" s="8">
        <v>23.245794304994149</v>
      </c>
    </row>
    <row r="396" spans="1:8" ht="15.75" thickBot="1" x14ac:dyDescent="0.3">
      <c r="A396" s="12">
        <v>7.88</v>
      </c>
      <c r="B396" s="8">
        <v>35.316611944900046</v>
      </c>
      <c r="C396" s="8">
        <v>28.821650652288213</v>
      </c>
      <c r="D396" s="8">
        <v>26.385369097186015</v>
      </c>
      <c r="E396" s="8">
        <v>25.076082000618669</v>
      </c>
      <c r="F396" s="8">
        <v>24.2481136541399</v>
      </c>
      <c r="G396" s="8">
        <v>23.67276086060474</v>
      </c>
      <c r="H396" s="8">
        <v>23.24745717521381</v>
      </c>
    </row>
    <row r="397" spans="1:8" ht="15.75" thickBot="1" x14ac:dyDescent="0.3">
      <c r="A397" s="12">
        <v>7.9</v>
      </c>
      <c r="B397" s="8">
        <v>35.324569352064941</v>
      </c>
      <c r="C397" s="8">
        <v>28.826196846232108</v>
      </c>
      <c r="D397" s="8">
        <v>26.388648492702714</v>
      </c>
      <c r="E397" s="8">
        <v>25.078683795723407</v>
      </c>
      <c r="F397" s="8">
        <v>24.250288177720279</v>
      </c>
      <c r="G397" s="8">
        <v>23.674639063736663</v>
      </c>
      <c r="H397" s="8">
        <v>23.249116659717004</v>
      </c>
    </row>
    <row r="398" spans="1:8" ht="15.75" thickBot="1" x14ac:dyDescent="0.3">
      <c r="A398" s="12">
        <v>7.92</v>
      </c>
      <c r="B398" s="8">
        <v>35.332510474118237</v>
      </c>
      <c r="C398" s="8">
        <v>28.830733770351628</v>
      </c>
      <c r="D398" s="8">
        <v>26.391921212142904</v>
      </c>
      <c r="E398" s="8">
        <v>25.081280299164234</v>
      </c>
      <c r="F398" s="8">
        <v>24.252458281440624</v>
      </c>
      <c r="G398" s="8">
        <v>23.676513451059691</v>
      </c>
      <c r="H398" s="8">
        <v>23.250772773961387</v>
      </c>
    </row>
    <row r="399" spans="1:8" ht="15.75" thickBot="1" x14ac:dyDescent="0.3">
      <c r="A399" s="12">
        <v>7.94</v>
      </c>
      <c r="B399" s="8">
        <v>35.340435385643787</v>
      </c>
      <c r="C399" s="8">
        <v>28.835261466987959</v>
      </c>
      <c r="D399" s="8">
        <v>26.395187285964141</v>
      </c>
      <c r="E399" s="8">
        <v>25.083871535065782</v>
      </c>
      <c r="F399" s="8">
        <v>24.254623985441469</v>
      </c>
      <c r="G399" s="8">
        <v>23.678384039955688</v>
      </c>
      <c r="H399" s="8">
        <v>23.252425533295138</v>
      </c>
    </row>
    <row r="400" spans="1:8" ht="15.75" thickBot="1" x14ac:dyDescent="0.3">
      <c r="A400" s="12">
        <v>7.96</v>
      </c>
      <c r="B400" s="8">
        <v>35.348344160696286</v>
      </c>
      <c r="C400" s="8">
        <v>28.839779978182492</v>
      </c>
      <c r="D400" s="8">
        <v>26.398446744408716</v>
      </c>
      <c r="E400" s="8">
        <v>25.086457527382265</v>
      </c>
      <c r="F400" s="8">
        <v>24.256785309721124</v>
      </c>
      <c r="G400" s="8">
        <v>23.680250847683908</v>
      </c>
      <c r="H400" s="8">
        <v>23.254074952958092</v>
      </c>
    </row>
    <row r="401" spans="1:8" ht="15.75" thickBot="1" x14ac:dyDescent="0.3">
      <c r="A401" s="12">
        <v>7.98</v>
      </c>
      <c r="B401" s="8">
        <v>35.356236872806164</v>
      </c>
      <c r="C401" s="8">
        <v>28.844289345679783</v>
      </c>
      <c r="D401" s="8">
        <v>26.401699617505471</v>
      </c>
      <c r="E401" s="8">
        <v>25.089038299898903</v>
      </c>
      <c r="F401" s="8">
        <v>24.258942274136814</v>
      </c>
      <c r="G401" s="8">
        <v>23.682113891381789</v>
      </c>
      <c r="H401" s="8">
        <v>23.255721048082762</v>
      </c>
    </row>
    <row r="402" spans="1:8" ht="15.75" thickBot="1" x14ac:dyDescent="0.3">
      <c r="A402" s="12">
        <v>8</v>
      </c>
      <c r="B402" s="8">
        <v>35.364113594984758</v>
      </c>
      <c r="C402" s="8">
        <v>28.848789610930226</v>
      </c>
      <c r="D402" s="8">
        <v>26.404945935071851</v>
      </c>
      <c r="E402" s="8">
        <v>25.091613876233623</v>
      </c>
      <c r="F402" s="8">
        <v>24.261094898406213</v>
      </c>
      <c r="G402" s="8">
        <v>23.683973188066432</v>
      </c>
      <c r="H402" s="8">
        <v>23.257363833695138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1B51-D08C-4509-A581-235BE7B4276A}">
  <dimension ref="A1:K8"/>
  <sheetViews>
    <sheetView workbookViewId="0">
      <selection activeCell="M5" sqref="M5"/>
    </sheetView>
  </sheetViews>
  <sheetFormatPr defaultRowHeight="15" x14ac:dyDescent="0.25"/>
  <cols>
    <col min="1" max="1" width="18.42578125" style="3" bestFit="1" customWidth="1"/>
    <col min="2" max="2" width="39.7109375" style="3" customWidth="1"/>
    <col min="3" max="3" width="45.7109375" style="3" customWidth="1"/>
    <col min="4" max="4" width="20.5703125" style="3" bestFit="1" customWidth="1"/>
    <col min="5" max="5" width="38.140625" style="3" bestFit="1" customWidth="1"/>
    <col min="6" max="16384" width="9.140625" style="3"/>
  </cols>
  <sheetData>
    <row r="1" spans="1:11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1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ht="15.75" thickBot="1" x14ac:dyDescent="0.3">
      <c r="A2" s="4">
        <v>20</v>
      </c>
      <c r="B2" s="5">
        <v>35.49</v>
      </c>
      <c r="C2" s="5">
        <v>12.79</v>
      </c>
      <c r="D2" s="5">
        <v>1.3740000000000001</v>
      </c>
      <c r="E2" s="5">
        <v>3.803E-3</v>
      </c>
      <c r="G2" s="4">
        <v>20</v>
      </c>
      <c r="H2" s="5">
        <v>32.405210925274844</v>
      </c>
      <c r="I2" s="5">
        <v>16.122257106689965</v>
      </c>
      <c r="J2" s="5">
        <v>3.7573917300706811E-3</v>
      </c>
      <c r="K2" s="5">
        <v>1.3916265666928447</v>
      </c>
    </row>
    <row r="3" spans="1:11" ht="15.75" thickBot="1" x14ac:dyDescent="0.3">
      <c r="A3" s="4">
        <v>40</v>
      </c>
      <c r="B3" s="5">
        <v>28.83</v>
      </c>
      <c r="C3" s="5">
        <v>22.27</v>
      </c>
      <c r="D3" s="5">
        <v>4.7850000000000001</v>
      </c>
      <c r="E3" s="5">
        <v>3.31E-3</v>
      </c>
      <c r="G3" s="4">
        <v>40</v>
      </c>
      <c r="H3" s="5">
        <v>27.124922691627205</v>
      </c>
      <c r="I3" s="5">
        <v>28.070480011667783</v>
      </c>
      <c r="J3" s="5">
        <v>3.2709994871372296E-3</v>
      </c>
      <c r="K3" s="5">
        <v>4.845925166129228</v>
      </c>
    </row>
    <row r="4" spans="1:11" ht="15.75" thickBot="1" x14ac:dyDescent="0.3">
      <c r="A4" s="4">
        <v>60</v>
      </c>
      <c r="B4" s="5">
        <v>26.34</v>
      </c>
      <c r="C4" s="5">
        <v>30.8</v>
      </c>
      <c r="D4" s="5">
        <v>9.9269999999999996</v>
      </c>
      <c r="E4" s="5">
        <v>3.052E-3</v>
      </c>
      <c r="G4" s="4">
        <v>60</v>
      </c>
      <c r="H4" s="5">
        <v>25.151185020690434</v>
      </c>
      <c r="I4" s="5">
        <v>38.826017546772846</v>
      </c>
      <c r="J4" s="5">
        <v>3.0162145055419136E-3</v>
      </c>
      <c r="K4" s="5">
        <v>10.054048351806381</v>
      </c>
    </row>
    <row r="5" spans="1:11" ht="15.75" thickBot="1" x14ac:dyDescent="0.3">
      <c r="A5" s="4">
        <v>80</v>
      </c>
      <c r="B5" s="5">
        <v>25.01</v>
      </c>
      <c r="C5" s="5">
        <v>38.770000000000003</v>
      </c>
      <c r="D5" s="5">
        <v>16.66</v>
      </c>
      <c r="E5" s="5">
        <v>2.882E-3</v>
      </c>
      <c r="G5" s="4">
        <v>80</v>
      </c>
      <c r="H5" s="5">
        <v>24.092193487676639</v>
      </c>
      <c r="I5" s="5">
        <v>48.873544372299961</v>
      </c>
      <c r="J5" s="5">
        <v>2.8475704460686484E-3</v>
      </c>
      <c r="K5" s="5">
        <v>16.874491532258656</v>
      </c>
    </row>
    <row r="6" spans="1:11" ht="15.75" thickBot="1" x14ac:dyDescent="0.3">
      <c r="A6" s="4">
        <v>100</v>
      </c>
      <c r="B6" s="5">
        <v>24.16</v>
      </c>
      <c r="C6" s="5">
        <v>46.35</v>
      </c>
      <c r="D6" s="5">
        <v>24.9</v>
      </c>
      <c r="E6" s="5">
        <v>2.7560000000000002E-3</v>
      </c>
      <c r="G6" s="4">
        <v>100</v>
      </c>
      <c r="H6" s="5">
        <v>23.423167494056884</v>
      </c>
      <c r="I6" s="5">
        <v>58.42542041756046</v>
      </c>
      <c r="J6" s="5">
        <v>2.7232811144259827E-3</v>
      </c>
      <c r="K6" s="5">
        <v>25.215565874314656</v>
      </c>
    </row>
    <row r="7" spans="1:11" ht="15.75" thickBot="1" x14ac:dyDescent="0.3">
      <c r="A7" s="4">
        <v>120</v>
      </c>
      <c r="B7" s="5">
        <v>23.58</v>
      </c>
      <c r="C7" s="5">
        <v>53.63</v>
      </c>
      <c r="D7" s="5">
        <v>34.57</v>
      </c>
      <c r="E7" s="5">
        <v>2.6570000000000001E-3</v>
      </c>
      <c r="G7" s="4">
        <v>120</v>
      </c>
      <c r="H7" s="5">
        <v>22.958578879776212</v>
      </c>
      <c r="I7" s="5">
        <v>67.600022891776604</v>
      </c>
      <c r="J7" s="5">
        <v>2.6257672368214533E-3</v>
      </c>
      <c r="K7" s="5">
        <v>35.01022982428605</v>
      </c>
    </row>
    <row r="8" spans="1:11" ht="15.75" thickBot="1" x14ac:dyDescent="0.3">
      <c r="A8" s="4">
        <v>140</v>
      </c>
      <c r="B8" s="5">
        <v>23.15</v>
      </c>
      <c r="C8" s="5">
        <v>60.67</v>
      </c>
      <c r="D8" s="5">
        <v>45.62</v>
      </c>
      <c r="E8" s="5">
        <v>2.5769999999999999E-3</v>
      </c>
      <c r="G8" s="4">
        <v>140</v>
      </c>
      <c r="H8" s="5">
        <v>22.615325335348587</v>
      </c>
      <c r="I8" s="5">
        <v>76.47232154899109</v>
      </c>
      <c r="J8" s="5">
        <v>2.5460496422166075E-3</v>
      </c>
      <c r="K8" s="5">
        <v>46.206086099486576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20BB-DD17-42E0-BB3E-2B04948D7DAC}">
  <dimension ref="A1:L402"/>
  <sheetViews>
    <sheetView tabSelected="1" workbookViewId="0">
      <selection activeCell="R7" sqref="R7"/>
    </sheetView>
  </sheetViews>
  <sheetFormatPr defaultRowHeight="15" x14ac:dyDescent="0.25"/>
  <cols>
    <col min="1" max="1" width="5.5703125" bestFit="1" customWidth="1"/>
    <col min="2" max="2" width="14" bestFit="1" customWidth="1"/>
    <col min="3" max="3" width="12.85546875" bestFit="1" customWidth="1"/>
    <col min="4" max="4" width="17.7109375" bestFit="1" customWidth="1"/>
    <col min="8" max="8" width="5.5703125" bestFit="1" customWidth="1"/>
    <col min="9" max="9" width="14" bestFit="1" customWidth="1"/>
    <col min="10" max="10" width="12.85546875" bestFit="1" customWidth="1"/>
    <col min="11" max="11" width="17.7109375" bestFit="1" customWidth="1"/>
    <col min="12" max="12" width="10.5703125" bestFit="1" customWidth="1"/>
  </cols>
  <sheetData>
    <row r="1" spans="1:12" ht="15.75" thickBot="1" x14ac:dyDescent="0.3">
      <c r="A1" s="1" t="s">
        <v>5</v>
      </c>
      <c r="B1" s="2" t="s">
        <v>13</v>
      </c>
      <c r="C1" s="2" t="s">
        <v>14</v>
      </c>
      <c r="D1" s="2" t="s">
        <v>15</v>
      </c>
      <c r="E1" s="2" t="s">
        <v>16</v>
      </c>
      <c r="H1" s="1" t="s">
        <v>5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15.75" thickBot="1" x14ac:dyDescent="0.3">
      <c r="A2" s="12">
        <v>0</v>
      </c>
      <c r="B2" s="11">
        <v>21.217450299999999</v>
      </c>
      <c r="C2" s="8">
        <v>21.136070730296638</v>
      </c>
      <c r="D2" s="5">
        <f>B2-C2</f>
        <v>8.1379569703361909E-2</v>
      </c>
      <c r="E2" s="6">
        <f>D2/C2</f>
        <v>3.8502695577523633E-3</v>
      </c>
      <c r="H2" s="14">
        <v>0</v>
      </c>
      <c r="I2" s="11">
        <f>VLOOKUP(H2,$A$2:$B$402,2,FALSE)</f>
        <v>21.217450299999999</v>
      </c>
      <c r="J2" s="11">
        <f>VLOOKUP(H2,$A$2:$E$402,3,FALSE)</f>
        <v>21.136070730296638</v>
      </c>
      <c r="K2" s="11">
        <f>VLOOKUP(H2,$A$2:$E$402,4,FALSE)</f>
        <v>8.1379569703361909E-2</v>
      </c>
      <c r="L2" s="15">
        <f>VLOOKUP(H2,$A$2:$H$402,5,FALSE)</f>
        <v>3.8502695577523633E-3</v>
      </c>
    </row>
    <row r="3" spans="1:12" ht="15.75" thickBot="1" x14ac:dyDescent="0.3">
      <c r="A3" s="12">
        <v>0.02</v>
      </c>
      <c r="B3" s="11">
        <v>21.329953199999999</v>
      </c>
      <c r="C3" s="8">
        <v>21.3728884556254</v>
      </c>
      <c r="D3" s="5">
        <f t="shared" ref="D3:D66" si="0">B3-C3</f>
        <v>-4.293525562540168E-2</v>
      </c>
      <c r="E3" s="6">
        <f t="shared" ref="E3:E66" si="1">D3/C3</f>
        <v>-2.0088653770193149E-3</v>
      </c>
      <c r="H3" s="14">
        <v>1</v>
      </c>
      <c r="I3" s="11">
        <f t="shared" ref="I3:I10" si="2">VLOOKUP(H3,$A$3:$B$403,2,FALSE)</f>
        <v>23.7063223</v>
      </c>
      <c r="J3" s="11">
        <f t="shared" ref="J3:J10" si="3">VLOOKUP(H3,$A$2:$E$402,3,FALSE)</f>
        <v>23.329926720104709</v>
      </c>
      <c r="K3" s="11">
        <f t="shared" ref="K3:K10" si="4">VLOOKUP(H3,$A$2:$E$402,4,FALSE)</f>
        <v>0.37639557989529138</v>
      </c>
      <c r="L3" s="15">
        <f t="shared" ref="L3:L10" si="5">VLOOKUP(H3,$A$3:$H$403,5,FALSE)</f>
        <v>1.6133594606232954E-2</v>
      </c>
    </row>
    <row r="4" spans="1:12" ht="15.75" thickBot="1" x14ac:dyDescent="0.3">
      <c r="A4" s="12">
        <v>0.04</v>
      </c>
      <c r="B4" s="11">
        <v>21.567516099999999</v>
      </c>
      <c r="C4" s="8">
        <v>21.635683279199895</v>
      </c>
      <c r="D4" s="5">
        <f t="shared" si="0"/>
        <v>-6.8167179199896566E-2</v>
      </c>
      <c r="E4" s="6">
        <f t="shared" si="1"/>
        <v>-3.1506829860756514E-3</v>
      </c>
      <c r="H4" s="14">
        <v>2</v>
      </c>
      <c r="I4" s="11">
        <f t="shared" si="2"/>
        <v>24.882118599999998</v>
      </c>
      <c r="J4" s="11">
        <f t="shared" si="3"/>
        <v>23.841028398746175</v>
      </c>
      <c r="K4" s="11">
        <f t="shared" si="4"/>
        <v>1.041090201253823</v>
      </c>
      <c r="L4" s="15">
        <f t="shared" si="5"/>
        <v>4.366800726216051E-2</v>
      </c>
    </row>
    <row r="5" spans="1:12" ht="15.75" thickBot="1" x14ac:dyDescent="0.3">
      <c r="A5" s="12">
        <v>0.06</v>
      </c>
      <c r="B5" s="11">
        <v>21.804744199999998</v>
      </c>
      <c r="C5" s="8">
        <v>21.802676601807093</v>
      </c>
      <c r="D5" s="5">
        <f t="shared" si="0"/>
        <v>2.0675981929052512E-3</v>
      </c>
      <c r="E5" s="6">
        <f t="shared" si="1"/>
        <v>9.4832310301473741E-5</v>
      </c>
      <c r="H5" s="14">
        <v>3</v>
      </c>
      <c r="I5" s="11">
        <f t="shared" si="2"/>
        <v>25.511879799999999</v>
      </c>
      <c r="J5" s="11">
        <f t="shared" si="3"/>
        <v>24.172793012165243</v>
      </c>
      <c r="K5" s="11">
        <f t="shared" si="4"/>
        <v>1.3390867878347557</v>
      </c>
      <c r="L5" s="15">
        <f t="shared" si="5"/>
        <v>5.5396444554869785E-2</v>
      </c>
    </row>
    <row r="6" spans="1:12" ht="15.75" thickBot="1" x14ac:dyDescent="0.3">
      <c r="A6" s="12">
        <v>0.08</v>
      </c>
      <c r="B6" s="11">
        <v>22.008467799999998</v>
      </c>
      <c r="C6" s="8">
        <v>21.927701184806949</v>
      </c>
      <c r="D6" s="5">
        <f t="shared" si="0"/>
        <v>8.0766615193049063E-2</v>
      </c>
      <c r="E6" s="6">
        <f t="shared" si="1"/>
        <v>3.683314293292625E-3</v>
      </c>
      <c r="H6" s="14">
        <v>4</v>
      </c>
      <c r="I6" s="11">
        <f t="shared" si="2"/>
        <v>25.6066833</v>
      </c>
      <c r="J6" s="11">
        <f t="shared" si="3"/>
        <v>24.424394805465113</v>
      </c>
      <c r="K6" s="11">
        <f t="shared" si="4"/>
        <v>1.1822884945348875</v>
      </c>
      <c r="L6" s="15">
        <f t="shared" si="5"/>
        <v>4.8406050751781289E-2</v>
      </c>
    </row>
    <row r="7" spans="1:12" ht="15.75" thickBot="1" x14ac:dyDescent="0.3">
      <c r="A7" s="12">
        <v>0.1</v>
      </c>
      <c r="B7" s="11">
        <v>22.172680100000001</v>
      </c>
      <c r="C7" s="8">
        <v>22.028689929317181</v>
      </c>
      <c r="D7" s="5">
        <f t="shared" si="0"/>
        <v>0.1439901706828195</v>
      </c>
      <c r="E7" s="6">
        <f t="shared" si="1"/>
        <v>6.5364836104569351E-3</v>
      </c>
      <c r="H7" s="14">
        <v>5</v>
      </c>
      <c r="I7" s="11">
        <f t="shared" si="2"/>
        <v>25.6066833</v>
      </c>
      <c r="J7" s="11">
        <f t="shared" si="3"/>
        <v>24.629440933081128</v>
      </c>
      <c r="K7" s="11">
        <f t="shared" si="4"/>
        <v>0.97724236691887256</v>
      </c>
      <c r="L7" s="15">
        <f t="shared" si="5"/>
        <v>3.9677813620458018E-2</v>
      </c>
    </row>
    <row r="8" spans="1:12" ht="15.75" thickBot="1" x14ac:dyDescent="0.3">
      <c r="A8" s="12">
        <v>0.12</v>
      </c>
      <c r="B8" s="11">
        <v>22.3017012</v>
      </c>
      <c r="C8" s="8">
        <v>22.113953517260427</v>
      </c>
      <c r="D8" s="5">
        <f t="shared" si="0"/>
        <v>0.18774768273957321</v>
      </c>
      <c r="E8" s="6">
        <f t="shared" si="1"/>
        <v>8.4900098299036404E-3</v>
      </c>
      <c r="H8" s="14">
        <v>6</v>
      </c>
      <c r="I8" s="11">
        <f t="shared" si="2"/>
        <v>25.6066833</v>
      </c>
      <c r="J8" s="11">
        <f t="shared" si="3"/>
        <v>24.803709451303916</v>
      </c>
      <c r="K8" s="11">
        <f t="shared" si="4"/>
        <v>0.80297384869608379</v>
      </c>
      <c r="L8" s="15">
        <f t="shared" si="5"/>
        <v>3.2373135569602147E-2</v>
      </c>
    </row>
    <row r="9" spans="1:12" ht="15.75" thickBot="1" x14ac:dyDescent="0.3">
      <c r="A9" s="12">
        <v>0.14000000000000001</v>
      </c>
      <c r="B9" s="11">
        <v>22.402117499999999</v>
      </c>
      <c r="C9" s="8">
        <v>22.188061430554058</v>
      </c>
      <c r="D9" s="5">
        <f t="shared" si="0"/>
        <v>0.21405606944594169</v>
      </c>
      <c r="E9" s="6">
        <f t="shared" si="1"/>
        <v>9.6473533803712978E-3</v>
      </c>
      <c r="H9" s="14">
        <v>7</v>
      </c>
      <c r="I9" s="11">
        <f t="shared" si="2"/>
        <v>25.709042799999999</v>
      </c>
      <c r="J9" s="11">
        <f t="shared" si="3"/>
        <v>24.955964534758607</v>
      </c>
      <c r="K9" s="11">
        <f t="shared" si="4"/>
        <v>0.75307826524139188</v>
      </c>
      <c r="L9" s="15">
        <f t="shared" si="5"/>
        <v>3.0176283677295114E-2</v>
      </c>
    </row>
    <row r="10" spans="1:12" ht="15.75" thickBot="1" x14ac:dyDescent="0.3">
      <c r="A10" s="12">
        <v>0.16</v>
      </c>
      <c r="B10" s="11">
        <v>22.483227100000001</v>
      </c>
      <c r="C10" s="8">
        <v>22.253809866414485</v>
      </c>
      <c r="D10" s="5">
        <f t="shared" si="0"/>
        <v>0.22941723358551513</v>
      </c>
      <c r="E10" s="6">
        <f t="shared" si="1"/>
        <v>1.0309121672318783E-2</v>
      </c>
      <c r="H10" s="14">
        <v>8</v>
      </c>
      <c r="I10" s="11">
        <f t="shared" si="2"/>
        <v>25.906815699999999</v>
      </c>
      <c r="J10" s="11">
        <f t="shared" si="3"/>
        <v>25.091613876233623</v>
      </c>
      <c r="K10" s="11">
        <f t="shared" si="4"/>
        <v>0.81520182376637607</v>
      </c>
      <c r="L10" s="15">
        <f t="shared" si="5"/>
        <v>3.2489015166079938E-2</v>
      </c>
    </row>
    <row r="11" spans="1:12" ht="15.75" thickBot="1" x14ac:dyDescent="0.3">
      <c r="A11" s="12">
        <v>0.18</v>
      </c>
      <c r="B11" s="11">
        <v>22.553221099999998</v>
      </c>
      <c r="C11" s="8">
        <v>22.313041117797695</v>
      </c>
      <c r="D11" s="5">
        <f t="shared" si="0"/>
        <v>0.24017998220230297</v>
      </c>
      <c r="E11" s="6">
        <f t="shared" si="1"/>
        <v>1.0764107901487558E-2</v>
      </c>
    </row>
    <row r="12" spans="1:12" ht="15.75" thickBot="1" x14ac:dyDescent="0.3">
      <c r="A12" s="12">
        <v>0.2</v>
      </c>
      <c r="B12" s="11">
        <v>22.6163718</v>
      </c>
      <c r="C12" s="8">
        <v>22.367036713737718</v>
      </c>
      <c r="D12" s="5">
        <f t="shared" si="0"/>
        <v>0.24933508626228118</v>
      </c>
      <c r="E12" s="6">
        <f t="shared" si="1"/>
        <v>1.1147434926377211E-2</v>
      </c>
    </row>
    <row r="13" spans="1:12" ht="15.75" thickBot="1" x14ac:dyDescent="0.3">
      <c r="A13" s="12">
        <v>0.22</v>
      </c>
      <c r="B13" s="11">
        <v>22.674507800000001</v>
      </c>
      <c r="C13" s="8">
        <v>22.416726029411507</v>
      </c>
      <c r="D13" s="5">
        <f t="shared" si="0"/>
        <v>0.25778177058849394</v>
      </c>
      <c r="E13" s="6">
        <f t="shared" si="1"/>
        <v>1.1499528086763227E-2</v>
      </c>
    </row>
    <row r="14" spans="1:12" ht="15.75" thickBot="1" x14ac:dyDescent="0.3">
      <c r="A14" s="12">
        <v>0.24</v>
      </c>
      <c r="B14" s="11">
        <v>22.7283312</v>
      </c>
      <c r="C14" s="8">
        <v>22.462805678088728</v>
      </c>
      <c r="D14" s="5">
        <f t="shared" si="0"/>
        <v>0.26552552191127177</v>
      </c>
      <c r="E14" s="6">
        <f t="shared" si="1"/>
        <v>1.1820674839843261E-2</v>
      </c>
    </row>
    <row r="15" spans="1:12" ht="15.75" thickBot="1" x14ac:dyDescent="0.3">
      <c r="A15" s="12">
        <v>0.26</v>
      </c>
      <c r="B15" s="11">
        <v>22.778476000000001</v>
      </c>
      <c r="C15" s="8">
        <v>22.505812002769574</v>
      </c>
      <c r="D15" s="5">
        <f t="shared" si="0"/>
        <v>0.27266399723042767</v>
      </c>
      <c r="E15" s="6">
        <f t="shared" si="1"/>
        <v>1.2115270366466828E-2</v>
      </c>
    </row>
    <row r="16" spans="1:12" ht="15.75" thickBot="1" x14ac:dyDescent="0.3">
      <c r="A16" s="12">
        <v>0.28000000000000003</v>
      </c>
      <c r="B16" s="11">
        <v>22.825598299999999</v>
      </c>
      <c r="C16" s="8">
        <v>22.546167235418693</v>
      </c>
      <c r="D16" s="5">
        <f t="shared" si="0"/>
        <v>0.27943106458130629</v>
      </c>
      <c r="E16" s="6">
        <f t="shared" si="1"/>
        <v>1.239372801876217E-2</v>
      </c>
    </row>
    <row r="17" spans="1:5" ht="15.75" thickBot="1" x14ac:dyDescent="0.3">
      <c r="A17" s="12">
        <v>0.3</v>
      </c>
      <c r="B17" s="11">
        <v>22.870116199999998</v>
      </c>
      <c r="C17" s="8">
        <v>22.584210062571344</v>
      </c>
      <c r="D17" s="5">
        <f t="shared" si="0"/>
        <v>0.28590613742865401</v>
      </c>
      <c r="E17" s="6">
        <f t="shared" si="1"/>
        <v>1.2659558896969536E-2</v>
      </c>
    </row>
    <row r="18" spans="1:5" ht="15.75" thickBot="1" x14ac:dyDescent="0.3">
      <c r="A18" s="12">
        <v>0.32</v>
      </c>
      <c r="B18" s="11">
        <v>22.912169299999999</v>
      </c>
      <c r="C18" s="8">
        <v>22.620216540457363</v>
      </c>
      <c r="D18" s="5">
        <f t="shared" si="0"/>
        <v>0.29195275954263522</v>
      </c>
      <c r="E18" s="6">
        <f t="shared" si="1"/>
        <v>1.2906718157205234E-2</v>
      </c>
    </row>
    <row r="19" spans="1:5" ht="15.75" thickBot="1" x14ac:dyDescent="0.3">
      <c r="A19" s="12">
        <v>0.34</v>
      </c>
      <c r="B19" s="11">
        <v>22.951792999999999</v>
      </c>
      <c r="C19" s="8">
        <v>22.654414811863205</v>
      </c>
      <c r="D19" s="5">
        <f t="shared" si="0"/>
        <v>0.2973781881367934</v>
      </c>
      <c r="E19" s="6">
        <f t="shared" si="1"/>
        <v>1.3126721242036603E-2</v>
      </c>
    </row>
    <row r="20" spans="1:5" ht="15.75" thickBot="1" x14ac:dyDescent="0.3">
      <c r="A20" s="12">
        <v>0.36</v>
      </c>
      <c r="B20" s="11">
        <v>22.9890492</v>
      </c>
      <c r="C20" s="8">
        <v>22.686995713770102</v>
      </c>
      <c r="D20" s="5">
        <f t="shared" si="0"/>
        <v>0.30205348622989803</v>
      </c>
      <c r="E20" s="6">
        <f t="shared" si="1"/>
        <v>1.3313948221295939E-2</v>
      </c>
    </row>
    <row r="21" spans="1:5" ht="15.75" thickBot="1" x14ac:dyDescent="0.3">
      <c r="A21" s="12">
        <v>0.38</v>
      </c>
      <c r="B21" s="11">
        <v>23.0241124</v>
      </c>
      <c r="C21" s="8">
        <v>22.718120585022461</v>
      </c>
      <c r="D21" s="5">
        <f t="shared" si="0"/>
        <v>0.30599181497753847</v>
      </c>
      <c r="E21" s="6">
        <f t="shared" si="1"/>
        <v>1.3469063773667611E-2</v>
      </c>
    </row>
    <row r="22" spans="1:5" ht="15.75" thickBot="1" x14ac:dyDescent="0.3">
      <c r="A22" s="12">
        <v>0.4</v>
      </c>
      <c r="B22" s="11">
        <v>23.0572968</v>
      </c>
      <c r="C22" s="8">
        <v>22.747927119900112</v>
      </c>
      <c r="D22" s="5">
        <f t="shared" si="0"/>
        <v>0.30936968009988774</v>
      </c>
      <c r="E22" s="6">
        <f t="shared" si="1"/>
        <v>1.3599906420890899E-2</v>
      </c>
    </row>
    <row r="23" spans="1:5" ht="15.75" thickBot="1" x14ac:dyDescent="0.3">
      <c r="A23" s="12">
        <v>0.42</v>
      </c>
      <c r="B23" s="11">
        <v>23.088894199999999</v>
      </c>
      <c r="C23" s="8">
        <v>22.776533828846198</v>
      </c>
      <c r="D23" s="5">
        <f t="shared" si="0"/>
        <v>0.312360371153801</v>
      </c>
      <c r="E23" s="6">
        <f t="shared" si="1"/>
        <v>1.3714131109721377E-2</v>
      </c>
    </row>
    <row r="24" spans="1:5" ht="15.75" thickBot="1" x14ac:dyDescent="0.3">
      <c r="A24" s="12">
        <v>0.44</v>
      </c>
      <c r="B24" s="11">
        <v>23.1190958</v>
      </c>
      <c r="C24" s="8">
        <v>22.804043487617264</v>
      </c>
      <c r="D24" s="5">
        <f t="shared" si="0"/>
        <v>0.31505231238273623</v>
      </c>
      <c r="E24" s="6">
        <f t="shared" si="1"/>
        <v>1.3815633729773036E-2</v>
      </c>
    </row>
    <row r="25" spans="1:5" ht="15.75" thickBot="1" x14ac:dyDescent="0.3">
      <c r="A25" s="12">
        <v>0.46</v>
      </c>
      <c r="B25" s="11">
        <v>23.148019300000001</v>
      </c>
      <c r="C25" s="8">
        <v>22.830545839339038</v>
      </c>
      <c r="D25" s="5">
        <f t="shared" si="0"/>
        <v>0.31747346066096327</v>
      </c>
      <c r="E25" s="6">
        <f t="shared" si="1"/>
        <v>1.3905644783749699E-2</v>
      </c>
    </row>
    <row r="26" spans="1:5" ht="15.75" thickBot="1" x14ac:dyDescent="0.3">
      <c r="A26" s="12">
        <v>0.48</v>
      </c>
      <c r="B26" s="11">
        <v>23.1757147</v>
      </c>
      <c r="C26" s="8">
        <v>22.856119736416986</v>
      </c>
      <c r="D26" s="5">
        <f t="shared" si="0"/>
        <v>0.31959496358301465</v>
      </c>
      <c r="E26" s="6">
        <f t="shared" si="1"/>
        <v>1.3982905553027856E-2</v>
      </c>
    </row>
    <row r="27" spans="1:5" ht="15.75" thickBot="1" x14ac:dyDescent="0.3">
      <c r="A27" s="12">
        <v>0.5</v>
      </c>
      <c r="B27" s="11">
        <v>23.202219599999999</v>
      </c>
      <c r="C27" s="8">
        <v>22.880834856700517</v>
      </c>
      <c r="D27" s="5">
        <f t="shared" si="0"/>
        <v>0.32138474329948252</v>
      </c>
      <c r="E27" s="6">
        <f t="shared" si="1"/>
        <v>1.4046023465151969E-2</v>
      </c>
    </row>
    <row r="28" spans="1:5" ht="15.75" thickBot="1" x14ac:dyDescent="0.3">
      <c r="A28" s="12">
        <v>0.52</v>
      </c>
      <c r="B28" s="11">
        <v>23.227603899999998</v>
      </c>
      <c r="C28" s="8">
        <v>22.904753092014573</v>
      </c>
      <c r="D28" s="5">
        <f t="shared" si="0"/>
        <v>0.32285080798542509</v>
      </c>
      <c r="E28" s="6">
        <f t="shared" si="1"/>
        <v>1.409536294447036E-2</v>
      </c>
    </row>
    <row r="29" spans="1:5" ht="15.75" thickBot="1" x14ac:dyDescent="0.3">
      <c r="A29" s="12">
        <v>0.54</v>
      </c>
      <c r="B29" s="11">
        <v>23.251974100000002</v>
      </c>
      <c r="C29" s="8">
        <v>22.927929681691182</v>
      </c>
      <c r="D29" s="5">
        <f t="shared" si="0"/>
        <v>0.32404441830881936</v>
      </c>
      <c r="E29" s="6">
        <f t="shared" si="1"/>
        <v>1.4133173941456261E-2</v>
      </c>
    </row>
    <row r="30" spans="1:5" ht="15.75" thickBot="1" x14ac:dyDescent="0.3">
      <c r="A30" s="12">
        <v>0.56000000000000005</v>
      </c>
      <c r="B30" s="11">
        <v>23.275450599999999</v>
      </c>
      <c r="C30" s="8">
        <v>22.950414145559705</v>
      </c>
      <c r="D30" s="5">
        <f t="shared" si="0"/>
        <v>0.32503645444029416</v>
      </c>
      <c r="E30" s="6">
        <f t="shared" si="1"/>
        <v>1.4162552901171941E-2</v>
      </c>
    </row>
    <row r="31" spans="1:5" ht="15.75" thickBot="1" x14ac:dyDescent="0.3">
      <c r="A31" s="12">
        <v>0.57999999999999996</v>
      </c>
      <c r="B31" s="11">
        <v>23.298128599999998</v>
      </c>
      <c r="C31" s="8">
        <v>22.972251057710992</v>
      </c>
      <c r="D31" s="5">
        <f t="shared" si="0"/>
        <v>0.32587754228900678</v>
      </c>
      <c r="E31" s="6">
        <f t="shared" si="1"/>
        <v>1.4185703502470687E-2</v>
      </c>
    </row>
    <row r="32" spans="1:5" ht="15.75" thickBot="1" x14ac:dyDescent="0.3">
      <c r="A32" s="12">
        <v>0.6</v>
      </c>
      <c r="B32" s="11">
        <v>23.320057200000001</v>
      </c>
      <c r="C32" s="8">
        <v>22.993480692719515</v>
      </c>
      <c r="D32" s="5">
        <f t="shared" si="0"/>
        <v>0.32657650728048537</v>
      </c>
      <c r="E32" s="6">
        <f t="shared" si="1"/>
        <v>1.4203004392627261E-2</v>
      </c>
    </row>
    <row r="33" spans="1:5" ht="15.75" thickBot="1" x14ac:dyDescent="0.3">
      <c r="A33" s="12">
        <v>0.62</v>
      </c>
      <c r="B33" s="11">
        <v>23.341258799999999</v>
      </c>
      <c r="C33" s="8">
        <v>23.014139568863925</v>
      </c>
      <c r="D33" s="5">
        <f t="shared" si="0"/>
        <v>0.32711923113607355</v>
      </c>
      <c r="E33" s="6">
        <f t="shared" si="1"/>
        <v>1.4213837113364719E-2</v>
      </c>
    </row>
    <row r="34" spans="1:5" ht="15.75" thickBot="1" x14ac:dyDescent="0.3">
      <c r="A34" s="12">
        <v>0.64</v>
      </c>
      <c r="B34" s="11">
        <v>23.361749100000001</v>
      </c>
      <c r="C34" s="8">
        <v>23.034260907531859</v>
      </c>
      <c r="D34" s="5">
        <f t="shared" si="0"/>
        <v>0.32748819246814165</v>
      </c>
      <c r="E34" s="6">
        <f t="shared" si="1"/>
        <v>1.4217438700672958E-2</v>
      </c>
    </row>
    <row r="35" spans="1:5" ht="15.75" thickBot="1" x14ac:dyDescent="0.3">
      <c r="A35" s="12">
        <v>0.66</v>
      </c>
      <c r="B35" s="11">
        <v>23.381551000000002</v>
      </c>
      <c r="C35" s="8">
        <v>23.053875023937735</v>
      </c>
      <c r="D35" s="5">
        <f t="shared" si="0"/>
        <v>0.32767597606226673</v>
      </c>
      <c r="E35" s="6">
        <f t="shared" si="1"/>
        <v>1.4213488002430308E-2</v>
      </c>
    </row>
    <row r="36" spans="1:5" ht="15.75" thickBot="1" x14ac:dyDescent="0.3">
      <c r="A36" s="12">
        <v>0.68</v>
      </c>
      <c r="B36" s="11">
        <v>23.400720700000001</v>
      </c>
      <c r="C36" s="8">
        <v>23.07300966117873</v>
      </c>
      <c r="D36" s="5">
        <f t="shared" si="0"/>
        <v>0.32771103882127051</v>
      </c>
      <c r="E36" s="6">
        <f t="shared" si="1"/>
        <v>1.4203220283509765E-2</v>
      </c>
    </row>
    <row r="37" spans="1:5" ht="15.75" thickBot="1" x14ac:dyDescent="0.3">
      <c r="A37" s="12">
        <v>0.70000000000000007</v>
      </c>
      <c r="B37" s="11">
        <v>23.419364300000002</v>
      </c>
      <c r="C37" s="8">
        <v>23.091690277259374</v>
      </c>
      <c r="D37" s="5">
        <f t="shared" si="0"/>
        <v>0.32767402274062718</v>
      </c>
      <c r="E37" s="6">
        <f t="shared" si="1"/>
        <v>1.4190127219197962E-2</v>
      </c>
    </row>
    <row r="38" spans="1:5" ht="15.75" thickBot="1" x14ac:dyDescent="0.3">
      <c r="A38" s="12">
        <v>0.72</v>
      </c>
      <c r="B38" s="11">
        <v>23.437594000000001</v>
      </c>
      <c r="C38" s="8">
        <v>23.109940292852798</v>
      </c>
      <c r="D38" s="5">
        <f t="shared" si="0"/>
        <v>0.32765370714720277</v>
      </c>
      <c r="E38" s="6">
        <f t="shared" si="1"/>
        <v>1.4178042132308584E-2</v>
      </c>
    </row>
    <row r="39" spans="1:5" ht="15.75" thickBot="1" x14ac:dyDescent="0.3">
      <c r="A39" s="12">
        <v>0.74</v>
      </c>
      <c r="B39" s="11">
        <v>23.455462199999999</v>
      </c>
      <c r="C39" s="8">
        <v>23.127781306102975</v>
      </c>
      <c r="D39" s="5">
        <f t="shared" si="0"/>
        <v>0.32768089389702482</v>
      </c>
      <c r="E39" s="6">
        <f t="shared" si="1"/>
        <v>1.4168280543648869E-2</v>
      </c>
    </row>
    <row r="40" spans="1:5" ht="15.75" thickBot="1" x14ac:dyDescent="0.3">
      <c r="A40" s="12">
        <v>0.76</v>
      </c>
      <c r="B40" s="11">
        <v>23.472992399999999</v>
      </c>
      <c r="C40" s="8">
        <v>23.145233279620754</v>
      </c>
      <c r="D40" s="5">
        <f t="shared" si="0"/>
        <v>0.32775912037924471</v>
      </c>
      <c r="E40" s="6">
        <f t="shared" si="1"/>
        <v>1.4160977183489213E-2</v>
      </c>
    </row>
    <row r="41" spans="1:5" ht="15.75" thickBot="1" x14ac:dyDescent="0.3">
      <c r="A41" s="12">
        <v>0.78</v>
      </c>
      <c r="B41" s="11">
        <v>23.4902534</v>
      </c>
      <c r="C41" s="8">
        <v>23.162314703904372</v>
      </c>
      <c r="D41" s="5">
        <f t="shared" si="0"/>
        <v>0.32793869609562876</v>
      </c>
      <c r="E41" s="6">
        <f t="shared" si="1"/>
        <v>1.4158286867605228E-2</v>
      </c>
    </row>
    <row r="42" spans="1:5" ht="15.75" thickBot="1" x14ac:dyDescent="0.3">
      <c r="A42" s="12">
        <v>0.8</v>
      </c>
      <c r="B42" s="11">
        <v>23.5073826</v>
      </c>
      <c r="C42" s="8">
        <v>23.179042740682632</v>
      </c>
      <c r="D42" s="5">
        <f t="shared" si="0"/>
        <v>0.3283398593173672</v>
      </c>
      <c r="E42" s="6">
        <f t="shared" si="1"/>
        <v>1.4165376154256898E-2</v>
      </c>
    </row>
    <row r="43" spans="1:5" ht="15.75" thickBot="1" x14ac:dyDescent="0.3">
      <c r="A43" s="12">
        <v>0.82000000000000006</v>
      </c>
      <c r="B43" s="11">
        <v>23.524576499999998</v>
      </c>
      <c r="C43" s="8">
        <v>23.195433349084226</v>
      </c>
      <c r="D43" s="5">
        <f t="shared" si="0"/>
        <v>0.32914315091577251</v>
      </c>
      <c r="E43" s="6">
        <f t="shared" si="1"/>
        <v>1.4189997917360201E-2</v>
      </c>
    </row>
    <row r="44" spans="1:5" ht="15.75" thickBot="1" x14ac:dyDescent="0.3">
      <c r="A44" s="12">
        <v>0.84</v>
      </c>
      <c r="B44" s="11">
        <v>23.542059800000001</v>
      </c>
      <c r="C44" s="8">
        <v>23.21150139705793</v>
      </c>
      <c r="D44" s="5">
        <f t="shared" si="0"/>
        <v>0.33055840294207073</v>
      </c>
      <c r="E44" s="6">
        <f t="shared" si="1"/>
        <v>1.4241146976557458E-2</v>
      </c>
    </row>
    <row r="45" spans="1:5" ht="15.75" thickBot="1" x14ac:dyDescent="0.3">
      <c r="A45" s="12">
        <v>0.86</v>
      </c>
      <c r="B45" s="11">
        <v>23.560047099999998</v>
      </c>
      <c r="C45" s="8">
        <v>23.227260760074728</v>
      </c>
      <c r="D45" s="5">
        <f t="shared" si="0"/>
        <v>0.33278633992527062</v>
      </c>
      <c r="E45" s="6">
        <f t="shared" si="1"/>
        <v>1.4327403621235274E-2</v>
      </c>
    </row>
    <row r="46" spans="1:5" ht="15.75" thickBot="1" x14ac:dyDescent="0.3">
      <c r="A46" s="12">
        <v>0.88</v>
      </c>
      <c r="B46" s="11">
        <v>23.578707699999999</v>
      </c>
      <c r="C46" s="8">
        <v>23.242724408826007</v>
      </c>
      <c r="D46" s="5">
        <f t="shared" si="0"/>
        <v>0.33598329117399217</v>
      </c>
      <c r="E46" s="6">
        <f t="shared" si="1"/>
        <v>1.4455417758445242E-2</v>
      </c>
    </row>
    <row r="47" spans="1:5" ht="15.75" thickBot="1" x14ac:dyDescent="0.3">
      <c r="A47" s="12">
        <v>0.9</v>
      </c>
      <c r="B47" s="11">
        <v>23.598141099999999</v>
      </c>
      <c r="C47" s="8">
        <v>23.257904487363703</v>
      </c>
      <c r="D47" s="5">
        <f t="shared" si="0"/>
        <v>0.34023661263629634</v>
      </c>
      <c r="E47" s="6">
        <f t="shared" si="1"/>
        <v>1.4628859311944933E-2</v>
      </c>
    </row>
    <row r="48" spans="1:5" ht="15.75" thickBot="1" x14ac:dyDescent="0.3">
      <c r="A48" s="12">
        <v>0.92</v>
      </c>
      <c r="B48" s="11">
        <v>23.618377599999999</v>
      </c>
      <c r="C48" s="8">
        <v>23.272812382913628</v>
      </c>
      <c r="D48" s="5">
        <f t="shared" si="0"/>
        <v>0.34556521708637078</v>
      </c>
      <c r="E48" s="6">
        <f t="shared" si="1"/>
        <v>1.4848451119731319E-2</v>
      </c>
    </row>
    <row r="49" spans="1:5" ht="15.75" thickBot="1" x14ac:dyDescent="0.3">
      <c r="A49" s="12">
        <v>0.94000000000000006</v>
      </c>
      <c r="B49" s="11">
        <v>23.639394100000001</v>
      </c>
      <c r="C49" s="8">
        <v>23.287458788409538</v>
      </c>
      <c r="D49" s="5">
        <f t="shared" si="0"/>
        <v>0.35193531159046287</v>
      </c>
      <c r="E49" s="6">
        <f t="shared" si="1"/>
        <v>1.5112654188168678E-2</v>
      </c>
    </row>
    <row r="50" spans="1:5" ht="15.75" thickBot="1" x14ac:dyDescent="0.3">
      <c r="A50" s="12">
        <v>0.96</v>
      </c>
      <c r="B50" s="11">
        <v>23.661124399999999</v>
      </c>
      <c r="C50" s="8">
        <v>23.301853758645336</v>
      </c>
      <c r="D50" s="5">
        <f t="shared" si="0"/>
        <v>0.35927064135466225</v>
      </c>
      <c r="E50" s="6">
        <f t="shared" si="1"/>
        <v>1.5418114158465503E-2</v>
      </c>
    </row>
    <row r="51" spans="1:5" ht="15.75" thickBot="1" x14ac:dyDescent="0.3">
      <c r="A51" s="12">
        <v>0.98</v>
      </c>
      <c r="B51" s="11">
        <v>23.6834706</v>
      </c>
      <c r="C51" s="8">
        <v>23.316006760815071</v>
      </c>
      <c r="D51" s="5">
        <f t="shared" si="0"/>
        <v>0.36746383918492853</v>
      </c>
      <c r="E51" s="6">
        <f t="shared" si="1"/>
        <v>1.5760153226687557E-2</v>
      </c>
    </row>
    <row r="52" spans="1:5" ht="15.75" thickBot="1" x14ac:dyDescent="0.3">
      <c r="A52" s="12">
        <v>1</v>
      </c>
      <c r="B52" s="11">
        <v>23.7063223</v>
      </c>
      <c r="C52" s="8">
        <v>23.329926720104709</v>
      </c>
      <c r="D52" s="5">
        <f t="shared" si="0"/>
        <v>0.37639557989529138</v>
      </c>
      <c r="E52" s="6">
        <f t="shared" si="1"/>
        <v>1.6133594606232954E-2</v>
      </c>
    </row>
    <row r="53" spans="1:5" ht="15.75" thickBot="1" x14ac:dyDescent="0.3">
      <c r="A53" s="12">
        <v>1.02</v>
      </c>
      <c r="B53" s="11">
        <v>23.7295835</v>
      </c>
      <c r="C53" s="8">
        <v>23.343622060908785</v>
      </c>
      <c r="D53" s="5">
        <f t="shared" si="0"/>
        <v>0.38596143909121494</v>
      </c>
      <c r="E53" s="6">
        <f t="shared" si="1"/>
        <v>1.6533913978051665E-2</v>
      </c>
    </row>
    <row r="54" spans="1:5" ht="15.75" thickBot="1" x14ac:dyDescent="0.3">
      <c r="A54" s="12">
        <v>1.04</v>
      </c>
      <c r="B54" s="11">
        <v>23.7531991</v>
      </c>
      <c r="C54" s="8">
        <v>23.357100744168747</v>
      </c>
      <c r="D54" s="5">
        <f t="shared" si="0"/>
        <v>0.39609835583125275</v>
      </c>
      <c r="E54" s="6">
        <f t="shared" si="1"/>
        <v>1.6958369969361085E-2</v>
      </c>
    </row>
    <row r="55" spans="1:5" ht="15.75" thickBot="1" x14ac:dyDescent="0.3">
      <c r="A55" s="12">
        <v>1.06</v>
      </c>
      <c r="B55" s="11">
        <v>23.7771705</v>
      </c>
      <c r="C55" s="8">
        <v>23.37037030126578</v>
      </c>
      <c r="D55" s="5">
        <f t="shared" si="0"/>
        <v>0.40680019873422069</v>
      </c>
      <c r="E55" s="6">
        <f t="shared" si="1"/>
        <v>1.7406664656579605E-2</v>
      </c>
    </row>
    <row r="56" spans="1:5" ht="15.75" thickBot="1" x14ac:dyDescent="0.3">
      <c r="A56" s="12">
        <v>1.08</v>
      </c>
      <c r="B56" s="11">
        <v>23.801553299999998</v>
      </c>
      <c r="C56" s="8">
        <v>23.383437864844382</v>
      </c>
      <c r="D56" s="5">
        <f t="shared" si="0"/>
        <v>0.41811543515561667</v>
      </c>
      <c r="E56" s="6">
        <f t="shared" si="1"/>
        <v>1.7880836751734807E-2</v>
      </c>
    </row>
    <row r="57" spans="1:5" ht="15.75" thickBot="1" x14ac:dyDescent="0.3">
      <c r="A57" s="12">
        <v>1.1000000000000001</v>
      </c>
      <c r="B57" s="11">
        <v>23.8264326</v>
      </c>
      <c r="C57" s="8">
        <v>23.396310196895911</v>
      </c>
      <c r="D57" s="5">
        <f t="shared" si="0"/>
        <v>0.43012240310408956</v>
      </c>
      <c r="E57" s="6">
        <f t="shared" si="1"/>
        <v>1.8384198169895855E-2</v>
      </c>
    </row>
    <row r="58" spans="1:5" ht="15.75" thickBot="1" x14ac:dyDescent="0.3">
      <c r="A58" s="12">
        <v>1.1200000000000001</v>
      </c>
      <c r="B58" s="11">
        <v>23.8518872</v>
      </c>
      <c r="C58" s="8">
        <v>23.408993714391784</v>
      </c>
      <c r="D58" s="5">
        <f t="shared" si="0"/>
        <v>0.44289348560821651</v>
      </c>
      <c r="E58" s="6">
        <f t="shared" si="1"/>
        <v>1.8919800270437378E-2</v>
      </c>
    </row>
    <row r="59" spans="1:5" ht="15.75" thickBot="1" x14ac:dyDescent="0.3">
      <c r="A59" s="12">
        <v>1.1400000000000001</v>
      </c>
      <c r="B59" s="11">
        <v>23.8779571</v>
      </c>
      <c r="C59" s="8">
        <v>23.421494512718823</v>
      </c>
      <c r="D59" s="5">
        <f t="shared" si="0"/>
        <v>0.45646258728117672</v>
      </c>
      <c r="E59" s="6">
        <f t="shared" si="1"/>
        <v>1.9489046142350096E-2</v>
      </c>
    </row>
    <row r="60" spans="1:5" ht="15.75" thickBot="1" x14ac:dyDescent="0.3">
      <c r="A60" s="12">
        <v>1.1599999999999999</v>
      </c>
      <c r="B60" s="11">
        <v>23.9046254</v>
      </c>
      <c r="C60" s="8">
        <v>23.433818387140775</v>
      </c>
      <c r="D60" s="5">
        <f t="shared" si="0"/>
        <v>0.47080701285922544</v>
      </c>
      <c r="E60" s="6">
        <f t="shared" si="1"/>
        <v>2.0090921807159653E-2</v>
      </c>
    </row>
    <row r="61" spans="1:5" ht="15.75" thickBot="1" x14ac:dyDescent="0.3">
      <c r="A61" s="12">
        <v>1.18</v>
      </c>
      <c r="B61" s="11">
        <v>23.931822700000001</v>
      </c>
      <c r="C61" s="8">
        <v>23.445970852483811</v>
      </c>
      <c r="D61" s="5">
        <f t="shared" si="0"/>
        <v>0.48585184751619082</v>
      </c>
      <c r="E61" s="6">
        <f t="shared" si="1"/>
        <v>2.0722189350701203E-2</v>
      </c>
    </row>
    <row r="62" spans="1:5" ht="15.75" thickBot="1" x14ac:dyDescent="0.3">
      <c r="A62" s="12">
        <v>1.2</v>
      </c>
      <c r="B62" s="11">
        <v>23.9594469</v>
      </c>
      <c r="C62" s="8">
        <v>23.45795716121961</v>
      </c>
      <c r="D62" s="5">
        <f t="shared" si="0"/>
        <v>0.50148973878038916</v>
      </c>
      <c r="E62" s="6">
        <f t="shared" si="1"/>
        <v>2.1378235765961984E-2</v>
      </c>
    </row>
    <row r="63" spans="1:5" ht="15.75" thickBot="1" x14ac:dyDescent="0.3">
      <c r="A63" s="12">
        <v>1.22</v>
      </c>
      <c r="B63" s="11">
        <v>23.987383900000001</v>
      </c>
      <c r="C63" s="8">
        <v>23.469782320101331</v>
      </c>
      <c r="D63" s="5">
        <f t="shared" si="0"/>
        <v>0.51760157989867039</v>
      </c>
      <c r="E63" s="6">
        <f t="shared" si="1"/>
        <v>2.2053957418060776E-2</v>
      </c>
    </row>
    <row r="64" spans="1:5" ht="15.75" thickBot="1" x14ac:dyDescent="0.3">
      <c r="A64" s="12">
        <v>1.24</v>
      </c>
      <c r="B64" s="11">
        <v>24.015519699999999</v>
      </c>
      <c r="C64" s="8">
        <v>23.481451105490009</v>
      </c>
      <c r="D64" s="5">
        <f t="shared" si="0"/>
        <v>0.53406859450998923</v>
      </c>
      <c r="E64" s="6">
        <f t="shared" si="1"/>
        <v>2.2744275560769026E-2</v>
      </c>
    </row>
    <row r="65" spans="1:5" ht="15.75" thickBot="1" x14ac:dyDescent="0.3">
      <c r="A65" s="12">
        <v>1.26</v>
      </c>
      <c r="B65" s="11">
        <v>24.043747799999998</v>
      </c>
      <c r="C65" s="8">
        <v>23.492968077494254</v>
      </c>
      <c r="D65" s="5">
        <f t="shared" si="0"/>
        <v>0.55077972250574447</v>
      </c>
      <c r="E65" s="6">
        <f t="shared" si="1"/>
        <v>2.3444450300572253E-2</v>
      </c>
    </row>
    <row r="66" spans="1:5" ht="15.75" thickBot="1" x14ac:dyDescent="0.3">
      <c r="A66" s="12">
        <v>1.28</v>
      </c>
      <c r="B66" s="11">
        <v>24.0719727</v>
      </c>
      <c r="C66" s="8">
        <v>23.504337593031437</v>
      </c>
      <c r="D66" s="5">
        <f t="shared" si="0"/>
        <v>0.56763510696856301</v>
      </c>
      <c r="E66" s="6">
        <f t="shared" si="1"/>
        <v>2.415022779186321E-2</v>
      </c>
    </row>
    <row r="67" spans="1:5" ht="15.75" thickBot="1" x14ac:dyDescent="0.3">
      <c r="A67" s="12">
        <v>1.3</v>
      </c>
      <c r="B67" s="11">
        <v>24.100111399999999</v>
      </c>
      <c r="C67" s="8">
        <v>23.515563817909253</v>
      </c>
      <c r="D67" s="5">
        <f t="shared" ref="D67:D130" si="6">B67-C67</f>
        <v>0.58454758209074598</v>
      </c>
      <c r="E67" s="6">
        <f t="shared" ref="E67:E130" si="7">D67/C67</f>
        <v>2.48579020523233E-2</v>
      </c>
    </row>
    <row r="68" spans="1:5" ht="15.75" thickBot="1" x14ac:dyDescent="0.3">
      <c r="A68" s="12">
        <v>1.32</v>
      </c>
      <c r="B68" s="11">
        <v>24.128093799999998</v>
      </c>
      <c r="C68" s="8">
        <v>23.526650738014155</v>
      </c>
      <c r="D68" s="5">
        <f t="shared" si="6"/>
        <v>0.60144306198584374</v>
      </c>
      <c r="E68" s="6">
        <f t="shared" si="7"/>
        <v>2.5564329945785159E-2</v>
      </c>
    </row>
    <row r="69" spans="1:5" ht="15.75" thickBot="1" x14ac:dyDescent="0.3">
      <c r="A69" s="12">
        <v>1.34</v>
      </c>
      <c r="B69" s="11">
        <v>24.155862899999999</v>
      </c>
      <c r="C69" s="8">
        <v>23.537602169686124</v>
      </c>
      <c r="D69" s="5">
        <f t="shared" si="6"/>
        <v>0.61826073031387452</v>
      </c>
      <c r="E69" s="6">
        <f t="shared" si="7"/>
        <v>2.626693772189451E-2</v>
      </c>
    </row>
    <row r="70" spans="1:5" ht="15.75" thickBot="1" x14ac:dyDescent="0.3">
      <c r="A70" s="12">
        <v>1.36</v>
      </c>
      <c r="B70" s="11">
        <v>24.1833721</v>
      </c>
      <c r="C70" s="8">
        <v>23.54842176934909</v>
      </c>
      <c r="D70" s="5">
        <f t="shared" si="6"/>
        <v>0.63495033065090922</v>
      </c>
      <c r="E70" s="6">
        <f t="shared" si="7"/>
        <v>2.6963604477195504E-2</v>
      </c>
    </row>
    <row r="71" spans="1:5" ht="15.75" thickBot="1" x14ac:dyDescent="0.3">
      <c r="A71" s="12">
        <v>1.3800000000000001</v>
      </c>
      <c r="B71" s="11">
        <v>24.210579899999999</v>
      </c>
      <c r="C71" s="8">
        <v>23.55911304246132</v>
      </c>
      <c r="D71" s="5">
        <f t="shared" si="6"/>
        <v>0.65146685753867928</v>
      </c>
      <c r="E71" s="6">
        <f t="shared" si="7"/>
        <v>2.7652435656831408E-2</v>
      </c>
    </row>
    <row r="72" spans="1:5" ht="15.75" thickBot="1" x14ac:dyDescent="0.3">
      <c r="A72" s="12">
        <v>1.4000000000000001</v>
      </c>
      <c r="B72" s="11">
        <v>24.237449099999999</v>
      </c>
      <c r="C72" s="8">
        <v>23.569679351842638</v>
      </c>
      <c r="D72" s="5">
        <f t="shared" si="6"/>
        <v>0.66776974815736168</v>
      </c>
      <c r="E72" s="6">
        <f t="shared" si="7"/>
        <v>2.8331728157564288E-2</v>
      </c>
    </row>
    <row r="73" spans="1:5" ht="15.75" thickBot="1" x14ac:dyDescent="0.3">
      <c r="A73" s="12">
        <v>1.42</v>
      </c>
      <c r="B73" s="11">
        <v>24.263949199999999</v>
      </c>
      <c r="C73" s="8">
        <v>23.5801239254302</v>
      </c>
      <c r="D73" s="5">
        <f t="shared" si="6"/>
        <v>0.68382527456979858</v>
      </c>
      <c r="E73" s="6">
        <f t="shared" si="7"/>
        <v>2.9000071277501684E-2</v>
      </c>
    </row>
    <row r="74" spans="1:5" ht="15.75" thickBot="1" x14ac:dyDescent="0.3">
      <c r="A74" s="12">
        <v>1.44</v>
      </c>
      <c r="B74" s="11">
        <v>24.290058500000001</v>
      </c>
      <c r="C74" s="8">
        <v>23.590449863509662</v>
      </c>
      <c r="D74" s="5">
        <f t="shared" si="6"/>
        <v>0.69960863649033911</v>
      </c>
      <c r="E74" s="6">
        <f t="shared" si="7"/>
        <v>2.9656434724142859E-2</v>
      </c>
    </row>
    <row r="75" spans="1:5" ht="15.75" thickBot="1" x14ac:dyDescent="0.3">
      <c r="A75" s="12">
        <v>1.46</v>
      </c>
      <c r="B75" s="11">
        <v>24.3157639</v>
      </c>
      <c r="C75" s="8">
        <v>23.60066014546311</v>
      </c>
      <c r="D75" s="5">
        <f t="shared" si="6"/>
        <v>0.71510375453689079</v>
      </c>
      <c r="E75" s="6">
        <f t="shared" si="7"/>
        <v>3.0300158984084998E-2</v>
      </c>
    </row>
    <row r="76" spans="1:5" ht="15.75" thickBot="1" x14ac:dyDescent="0.3">
      <c r="A76" s="12">
        <v>1.48</v>
      </c>
      <c r="B76" s="11">
        <v>24.3410595</v>
      </c>
      <c r="C76" s="8">
        <v>23.61075763607414</v>
      </c>
      <c r="D76" s="5">
        <f t="shared" si="6"/>
        <v>0.73030186392585961</v>
      </c>
      <c r="E76" s="6">
        <f t="shared" si="7"/>
        <v>3.0930894941298036E-2</v>
      </c>
    </row>
    <row r="77" spans="1:5" ht="15.75" thickBot="1" x14ac:dyDescent="0.3">
      <c r="A77" s="12">
        <v>1.5</v>
      </c>
      <c r="B77" s="11">
        <v>24.365944800000001</v>
      </c>
      <c r="C77" s="8">
        <v>23.620745091422179</v>
      </c>
      <c r="D77" s="5">
        <f t="shared" si="6"/>
        <v>0.7451997085778217</v>
      </c>
      <c r="E77" s="6">
        <f t="shared" si="7"/>
        <v>3.1548526758727831E-2</v>
      </c>
    </row>
    <row r="78" spans="1:5" ht="15.75" thickBot="1" x14ac:dyDescent="0.3">
      <c r="A78" s="12">
        <v>1.52</v>
      </c>
      <c r="B78" s="11">
        <v>24.390423599999998</v>
      </c>
      <c r="C78" s="8">
        <v>23.630625164400385</v>
      </c>
      <c r="D78" s="5">
        <f t="shared" si="6"/>
        <v>0.75979843559961324</v>
      </c>
      <c r="E78" s="6">
        <f t="shared" si="7"/>
        <v>3.2153124613235037E-2</v>
      </c>
    </row>
    <row r="79" spans="1:5" ht="15.75" thickBot="1" x14ac:dyDescent="0.3">
      <c r="A79" s="12">
        <v>1.54</v>
      </c>
      <c r="B79" s="11">
        <v>24.414501999999999</v>
      </c>
      <c r="C79" s="8">
        <v>23.640400409883796</v>
      </c>
      <c r="D79" s="5">
        <f t="shared" si="6"/>
        <v>0.77410159011620294</v>
      </c>
      <c r="E79" s="6">
        <f t="shared" si="7"/>
        <v>3.2744859507225582E-2</v>
      </c>
    </row>
    <row r="80" spans="1:5" ht="15.75" thickBot="1" x14ac:dyDescent="0.3">
      <c r="A80" s="12">
        <v>1.56</v>
      </c>
      <c r="B80" s="11">
        <v>24.438188400000001</v>
      </c>
      <c r="C80" s="8">
        <v>23.650073289575516</v>
      </c>
      <c r="D80" s="5">
        <f t="shared" si="6"/>
        <v>0.78811511042448501</v>
      </c>
      <c r="E80" s="6">
        <f t="shared" si="7"/>
        <v>3.3324002880442259E-2</v>
      </c>
    </row>
    <row r="81" spans="1:5" ht="15.75" thickBot="1" x14ac:dyDescent="0.3">
      <c r="A81" s="12">
        <v>1.58</v>
      </c>
      <c r="B81" s="11">
        <v>24.461493399999998</v>
      </c>
      <c r="C81" s="8">
        <v>23.659646176554133</v>
      </c>
      <c r="D81" s="5">
        <f t="shared" si="6"/>
        <v>0.8018472234458649</v>
      </c>
      <c r="E81" s="6">
        <f t="shared" si="7"/>
        <v>3.3890922013891607E-2</v>
      </c>
    </row>
    <row r="82" spans="1:5" ht="15.75" thickBot="1" x14ac:dyDescent="0.3">
      <c r="A82" s="12">
        <v>1.6</v>
      </c>
      <c r="B82" s="11">
        <v>24.484429800000001</v>
      </c>
      <c r="C82" s="8">
        <v>23.669121359544761</v>
      </c>
      <c r="D82" s="5">
        <f t="shared" si="6"/>
        <v>0.8153084404552402</v>
      </c>
      <c r="E82" s="6">
        <f t="shared" si="7"/>
        <v>3.4446079686285463E-2</v>
      </c>
    </row>
    <row r="83" spans="1:5" ht="15.75" thickBot="1" x14ac:dyDescent="0.3">
      <c r="A83" s="12">
        <v>1.62</v>
      </c>
      <c r="B83" s="11">
        <v>24.507011200000001</v>
      </c>
      <c r="C83" s="8">
        <v>23.678501046932922</v>
      </c>
      <c r="D83" s="5">
        <f t="shared" si="6"/>
        <v>0.82851015306707865</v>
      </c>
      <c r="E83" s="6">
        <f t="shared" si="7"/>
        <v>3.4989974721157259E-2</v>
      </c>
    </row>
    <row r="84" spans="1:5" ht="15.75" thickBot="1" x14ac:dyDescent="0.3">
      <c r="A84" s="12">
        <v>1.6400000000000001</v>
      </c>
      <c r="B84" s="11">
        <v>24.529250399999999</v>
      </c>
      <c r="C84" s="8">
        <v>23.687787370541173</v>
      </c>
      <c r="D84" s="5">
        <f t="shared" si="6"/>
        <v>0.84146302945882567</v>
      </c>
      <c r="E84" s="6">
        <f t="shared" si="7"/>
        <v>3.5523074244802354E-2</v>
      </c>
    </row>
    <row r="85" spans="1:5" ht="15.75" thickBot="1" x14ac:dyDescent="0.3">
      <c r="A85" s="12">
        <v>1.6600000000000001</v>
      </c>
      <c r="B85" s="11">
        <v>24.551159200000001</v>
      </c>
      <c r="C85" s="8">
        <v>23.696982389183574</v>
      </c>
      <c r="D85" s="5">
        <f t="shared" si="6"/>
        <v>0.85417681081642627</v>
      </c>
      <c r="E85" s="6">
        <f t="shared" si="7"/>
        <v>3.6045805191057281E-2</v>
      </c>
    </row>
    <row r="86" spans="1:5" ht="15.75" thickBot="1" x14ac:dyDescent="0.3">
      <c r="A86" s="12">
        <v>1.68</v>
      </c>
      <c r="B86" s="11">
        <v>24.572749699999999</v>
      </c>
      <c r="C86" s="8">
        <v>23.706088092015079</v>
      </c>
      <c r="D86" s="5">
        <f t="shared" si="6"/>
        <v>0.86666160798491987</v>
      </c>
      <c r="E86" s="6">
        <f t="shared" si="7"/>
        <v>3.6558609105854012E-2</v>
      </c>
    </row>
    <row r="87" spans="1:5" ht="15.75" thickBot="1" x14ac:dyDescent="0.3">
      <c r="A87" s="12">
        <v>1.7</v>
      </c>
      <c r="B87" s="11">
        <v>24.594033799999998</v>
      </c>
      <c r="C87" s="8">
        <v>23.715106401688558</v>
      </c>
      <c r="D87" s="5">
        <f t="shared" si="6"/>
        <v>0.87892739831143984</v>
      </c>
      <c r="E87" s="6">
        <f t="shared" si="7"/>
        <v>3.7061920930232833E-2</v>
      </c>
    </row>
    <row r="88" spans="1:5" ht="15.75" thickBot="1" x14ac:dyDescent="0.3">
      <c r="A88" s="12">
        <v>1.72</v>
      </c>
      <c r="B88" s="11">
        <v>24.615022199999999</v>
      </c>
      <c r="C88" s="8">
        <v>23.724039177333964</v>
      </c>
      <c r="D88" s="5">
        <f t="shared" si="6"/>
        <v>0.89098302266603469</v>
      </c>
      <c r="E88" s="6">
        <f t="shared" si="7"/>
        <v>3.755612676265023E-2</v>
      </c>
    </row>
    <row r="89" spans="1:5" ht="15.75" thickBot="1" x14ac:dyDescent="0.3">
      <c r="A89" s="12">
        <v>1.74</v>
      </c>
      <c r="B89" s="11">
        <v>24.635724700000001</v>
      </c>
      <c r="C89" s="8">
        <v>23.732888217370601</v>
      </c>
      <c r="D89" s="5">
        <f t="shared" si="6"/>
        <v>0.90283648262940019</v>
      </c>
      <c r="E89" s="6">
        <f t="shared" si="7"/>
        <v>3.8041576497570791E-2</v>
      </c>
    </row>
    <row r="90" spans="1:5" ht="15.75" thickBot="1" x14ac:dyDescent="0.3">
      <c r="A90" s="12">
        <v>1.76</v>
      </c>
      <c r="B90" s="11">
        <v>24.656150799999999</v>
      </c>
      <c r="C90" s="8">
        <v>23.741655262164272</v>
      </c>
      <c r="D90" s="5">
        <f t="shared" si="6"/>
        <v>0.91449553783572668</v>
      </c>
      <c r="E90" s="6">
        <f t="shared" si="7"/>
        <v>3.851860907495807E-2</v>
      </c>
    </row>
    <row r="91" spans="1:5" ht="15.75" thickBot="1" x14ac:dyDescent="0.3">
      <c r="A91" s="12">
        <v>1.78</v>
      </c>
      <c r="B91" s="11">
        <v>24.6763099</v>
      </c>
      <c r="C91" s="8">
        <v>23.750341996538964</v>
      </c>
      <c r="D91" s="5">
        <f t="shared" si="6"/>
        <v>0.92596790346103575</v>
      </c>
      <c r="E91" s="6">
        <f t="shared" si="7"/>
        <v>3.8987560835796513E-2</v>
      </c>
    </row>
    <row r="92" spans="1:5" ht="15.75" thickBot="1" x14ac:dyDescent="0.3">
      <c r="A92" s="12">
        <v>1.8</v>
      </c>
      <c r="B92" s="11">
        <v>24.696211099999999</v>
      </c>
      <c r="C92" s="8">
        <v>23.758950052153523</v>
      </c>
      <c r="D92" s="5">
        <f t="shared" si="6"/>
        <v>0.93726104784647646</v>
      </c>
      <c r="E92" s="6">
        <f t="shared" si="7"/>
        <v>3.944875702794462E-2</v>
      </c>
    </row>
    <row r="93" spans="1:5" ht="15.75" thickBot="1" x14ac:dyDescent="0.3">
      <c r="A93" s="12">
        <v>1.82</v>
      </c>
      <c r="B93" s="11">
        <v>24.715861</v>
      </c>
      <c r="C93" s="8">
        <v>23.767481009750497</v>
      </c>
      <c r="D93" s="5">
        <f t="shared" si="6"/>
        <v>0.94837999024950292</v>
      </c>
      <c r="E93" s="6">
        <f t="shared" si="7"/>
        <v>3.9902419186132285E-2</v>
      </c>
    </row>
    <row r="94" spans="1:5" ht="15.75" thickBot="1" x14ac:dyDescent="0.3">
      <c r="A94" s="12">
        <v>1.84</v>
      </c>
      <c r="B94" s="11">
        <v>24.7352624</v>
      </c>
      <c r="C94" s="8">
        <v>23.775936401287197</v>
      </c>
      <c r="D94" s="5">
        <f t="shared" si="6"/>
        <v>0.95932599871280289</v>
      </c>
      <c r="E94" s="6">
        <f t="shared" si="7"/>
        <v>4.0348610566642761E-2</v>
      </c>
    </row>
    <row r="95" spans="1:5" ht="15.75" thickBot="1" x14ac:dyDescent="0.3">
      <c r="A95" s="12">
        <v>1.86</v>
      </c>
      <c r="B95" s="11">
        <v>24.754418399999999</v>
      </c>
      <c r="C95" s="8">
        <v>23.784317711954486</v>
      </c>
      <c r="D95" s="5">
        <f t="shared" si="6"/>
        <v>0.97010068804551253</v>
      </c>
      <c r="E95" s="6">
        <f t="shared" si="7"/>
        <v>4.0787408736888846E-2</v>
      </c>
    </row>
    <row r="96" spans="1:5" ht="15.75" thickBot="1" x14ac:dyDescent="0.3">
      <c r="A96" s="12">
        <v>1.8800000000000001</v>
      </c>
      <c r="B96" s="11">
        <v>24.773334500000001</v>
      </c>
      <c r="C96" s="8">
        <v>23.79262638209201</v>
      </c>
      <c r="D96" s="5">
        <f t="shared" si="6"/>
        <v>0.98070811790799084</v>
      </c>
      <c r="E96" s="6">
        <f t="shared" si="7"/>
        <v>4.121899374026821E-2</v>
      </c>
    </row>
    <row r="97" spans="1:5" ht="15.75" thickBot="1" x14ac:dyDescent="0.3">
      <c r="A97" s="12">
        <v>1.9000000000000001</v>
      </c>
      <c r="B97" s="11">
        <v>24.792017399999999</v>
      </c>
      <c r="C97" s="8">
        <v>23.800863809004795</v>
      </c>
      <c r="D97" s="5">
        <f t="shared" si="6"/>
        <v>0.99115359099520361</v>
      </c>
      <c r="E97" s="6">
        <f t="shared" si="7"/>
        <v>4.1643597431964281E-2</v>
      </c>
    </row>
    <row r="98" spans="1:5" ht="15.75" thickBot="1" x14ac:dyDescent="0.3">
      <c r="A98" s="12">
        <v>1.92</v>
      </c>
      <c r="B98" s="11">
        <v>24.810473099999999</v>
      </c>
      <c r="C98" s="8">
        <v>23.80903134868862</v>
      </c>
      <c r="D98" s="5">
        <f t="shared" si="6"/>
        <v>1.0014417513113791</v>
      </c>
      <c r="E98" s="6">
        <f t="shared" si="7"/>
        <v>4.2061423526435805E-2</v>
      </c>
    </row>
    <row r="99" spans="1:5" ht="15.75" thickBot="1" x14ac:dyDescent="0.3">
      <c r="A99" s="12">
        <v>1.94</v>
      </c>
      <c r="B99" s="11">
        <v>24.828706100000002</v>
      </c>
      <c r="C99" s="8">
        <v>23.817130317468411</v>
      </c>
      <c r="D99" s="5">
        <f t="shared" si="6"/>
        <v>1.0115757825315903</v>
      </c>
      <c r="E99" s="6">
        <f t="shared" si="7"/>
        <v>4.2472613998742796E-2</v>
      </c>
    </row>
    <row r="100" spans="1:5" ht="15.75" thickBot="1" x14ac:dyDescent="0.3">
      <c r="A100" s="12">
        <v>1.96</v>
      </c>
      <c r="B100" s="11">
        <v>24.846721200000001</v>
      </c>
      <c r="C100" s="8">
        <v>23.825161993555639</v>
      </c>
      <c r="D100" s="5">
        <f t="shared" si="6"/>
        <v>1.0215592064443619</v>
      </c>
      <c r="E100" s="6">
        <f t="shared" si="7"/>
        <v>4.2877324683906821E-2</v>
      </c>
    </row>
    <row r="101" spans="1:5" ht="15.75" thickBot="1" x14ac:dyDescent="0.3">
      <c r="A101" s="12">
        <v>1.98</v>
      </c>
      <c r="B101" s="11">
        <v>24.864523800000001</v>
      </c>
      <c r="C101" s="8">
        <v>23.833127618529545</v>
      </c>
      <c r="D101" s="5">
        <f t="shared" si="6"/>
        <v>1.0313961814704555</v>
      </c>
      <c r="E101" s="6">
        <f t="shared" si="7"/>
        <v>4.3275737787287966E-2</v>
      </c>
    </row>
    <row r="102" spans="1:5" ht="15.75" thickBot="1" x14ac:dyDescent="0.3">
      <c r="A102" s="12">
        <v>2</v>
      </c>
      <c r="B102" s="11">
        <v>24.882118599999998</v>
      </c>
      <c r="C102" s="8">
        <v>23.841028398746175</v>
      </c>
      <c r="D102" s="5">
        <f t="shared" si="6"/>
        <v>1.041090201253823</v>
      </c>
      <c r="E102" s="6">
        <f t="shared" si="7"/>
        <v>4.366800726216051E-2</v>
      </c>
    </row>
    <row r="103" spans="1:5" ht="15.75" thickBot="1" x14ac:dyDescent="0.3">
      <c r="A103" s="12">
        <v>2.02</v>
      </c>
      <c r="B103" s="11">
        <v>24.899508399999998</v>
      </c>
      <c r="C103" s="8">
        <v>23.848865506679658</v>
      </c>
      <c r="D103" s="5">
        <f t="shared" si="6"/>
        <v>1.0506428933203402</v>
      </c>
      <c r="E103" s="6">
        <f t="shared" si="7"/>
        <v>4.4054208491639706E-2</v>
      </c>
    </row>
    <row r="104" spans="1:5" ht="15.75" thickBot="1" x14ac:dyDescent="0.3">
      <c r="A104" s="12">
        <v>2.04</v>
      </c>
      <c r="B104" s="11">
        <v>24.916696200000001</v>
      </c>
      <c r="C104" s="8">
        <v>23.856640082199874</v>
      </c>
      <c r="D104" s="5">
        <f t="shared" si="6"/>
        <v>1.0600561178001264</v>
      </c>
      <c r="E104" s="6">
        <f t="shared" si="7"/>
        <v>4.4434426396492643E-2</v>
      </c>
    </row>
    <row r="105" spans="1:5" ht="15.75" thickBot="1" x14ac:dyDescent="0.3">
      <c r="A105" s="12">
        <v>2.06</v>
      </c>
      <c r="B105" s="11">
        <v>24.933686099999999</v>
      </c>
      <c r="C105" s="8">
        <v>23.8643532337897</v>
      </c>
      <c r="D105" s="5">
        <f t="shared" si="6"/>
        <v>1.0693328662102992</v>
      </c>
      <c r="E105" s="6">
        <f t="shared" si="7"/>
        <v>4.480879308709794E-2</v>
      </c>
    </row>
    <row r="106" spans="1:5" ht="15.75" thickBot="1" x14ac:dyDescent="0.3">
      <c r="A106" s="12">
        <v>2.08</v>
      </c>
      <c r="B106" s="11">
        <v>24.9504816</v>
      </c>
      <c r="C106" s="8">
        <v>23.872006039705525</v>
      </c>
      <c r="D106" s="5">
        <f t="shared" si="6"/>
        <v>1.0784755602944749</v>
      </c>
      <c r="E106" s="6">
        <f t="shared" si="7"/>
        <v>4.5177416531341434E-2</v>
      </c>
    </row>
    <row r="107" spans="1:5" ht="15.75" thickBot="1" x14ac:dyDescent="0.3">
      <c r="A107" s="12">
        <v>2.1</v>
      </c>
      <c r="B107" s="11">
        <v>24.967084799999999</v>
      </c>
      <c r="C107" s="8">
        <v>23.879599549084105</v>
      </c>
      <c r="D107" s="5">
        <f t="shared" si="6"/>
        <v>1.0874852509158934</v>
      </c>
      <c r="E107" s="6">
        <f t="shared" si="7"/>
        <v>4.5540347051489967E-2</v>
      </c>
    </row>
    <row r="108" spans="1:5" ht="15.75" thickBot="1" x14ac:dyDescent="0.3">
      <c r="A108" s="12">
        <v>2.12</v>
      </c>
      <c r="B108" s="11">
        <v>24.983497499999999</v>
      </c>
      <c r="C108" s="8">
        <v>23.887134782998714</v>
      </c>
      <c r="D108" s="5">
        <f t="shared" si="6"/>
        <v>1.0963627170012842</v>
      </c>
      <c r="E108" s="6">
        <f t="shared" si="7"/>
        <v>4.5897623426213625E-2</v>
      </c>
    </row>
    <row r="109" spans="1:5" ht="15.75" thickBot="1" x14ac:dyDescent="0.3">
      <c r="A109" s="12">
        <v>2.14</v>
      </c>
      <c r="B109" s="11">
        <v>24.999721900000001</v>
      </c>
      <c r="C109" s="8">
        <v>23.894612735467547</v>
      </c>
      <c r="D109" s="5">
        <f t="shared" si="6"/>
        <v>1.105109164532454</v>
      </c>
      <c r="E109" s="6">
        <f t="shared" si="7"/>
        <v>4.6249302165592525E-2</v>
      </c>
    </row>
    <row r="110" spans="1:5" ht="15.75" thickBot="1" x14ac:dyDescent="0.3">
      <c r="A110" s="12">
        <v>2.16</v>
      </c>
      <c r="B110" s="11">
        <v>25.015761600000001</v>
      </c>
      <c r="C110" s="8">
        <v>23.902034374416473</v>
      </c>
      <c r="D110" s="5">
        <f t="shared" si="6"/>
        <v>1.1137272255835278</v>
      </c>
      <c r="E110" s="6">
        <f t="shared" si="7"/>
        <v>4.6595499284178298E-2</v>
      </c>
    </row>
    <row r="111" spans="1:5" ht="15.75" thickBot="1" x14ac:dyDescent="0.3">
      <c r="A111" s="12">
        <v>2.1800000000000002</v>
      </c>
      <c r="B111" s="11">
        <v>25.0316209</v>
      </c>
      <c r="C111" s="8">
        <v>23.909400642599337</v>
      </c>
      <c r="D111" s="5">
        <f t="shared" si="6"/>
        <v>1.122220257400663</v>
      </c>
      <c r="E111" s="6">
        <f t="shared" si="7"/>
        <v>4.693636089736207E-2</v>
      </c>
    </row>
    <row r="112" spans="1:5" ht="15.75" thickBot="1" x14ac:dyDescent="0.3">
      <c r="A112" s="12">
        <v>2.2000000000000002</v>
      </c>
      <c r="B112" s="11">
        <v>25.047302800000001</v>
      </c>
      <c r="C112" s="8">
        <v>23.916712458477434</v>
      </c>
      <c r="D112" s="5">
        <f t="shared" si="6"/>
        <v>1.1305903415225664</v>
      </c>
      <c r="E112" s="6">
        <f t="shared" si="7"/>
        <v>4.7271979519987135E-2</v>
      </c>
    </row>
    <row r="113" spans="1:5" ht="15.75" thickBot="1" x14ac:dyDescent="0.3">
      <c r="A113" s="12">
        <v>2.2200000000000002</v>
      </c>
      <c r="B113" s="11">
        <v>25.062808199999999</v>
      </c>
      <c r="C113" s="8">
        <v>23.923970717060399</v>
      </c>
      <c r="D113" s="5">
        <f t="shared" si="6"/>
        <v>1.1388374829396</v>
      </c>
      <c r="E113" s="6">
        <f t="shared" si="7"/>
        <v>4.7602360678676334E-2</v>
      </c>
    </row>
    <row r="114" spans="1:5" ht="15.75" thickBot="1" x14ac:dyDescent="0.3">
      <c r="A114" s="12">
        <v>2.2400000000000002</v>
      </c>
      <c r="B114" s="11">
        <v>25.078136900000001</v>
      </c>
      <c r="C114" s="8">
        <v>23.931176290711221</v>
      </c>
      <c r="D114" s="5">
        <f t="shared" si="6"/>
        <v>1.1469606092887794</v>
      </c>
      <c r="E114" s="6">
        <f t="shared" si="7"/>
        <v>4.7927464799712625E-2</v>
      </c>
    </row>
    <row r="115" spans="1:5" ht="15.75" thickBot="1" x14ac:dyDescent="0.3">
      <c r="A115" s="12">
        <v>2.2600000000000002</v>
      </c>
      <c r="B115" s="11">
        <v>25.0932885</v>
      </c>
      <c r="C115" s="8">
        <v>23.93833002991596</v>
      </c>
      <c r="D115" s="5">
        <f t="shared" si="6"/>
        <v>1.1549584700840398</v>
      </c>
      <c r="E115" s="6">
        <f t="shared" si="7"/>
        <v>4.8247244842922511E-2</v>
      </c>
    </row>
    <row r="116" spans="1:5" ht="15.75" thickBot="1" x14ac:dyDescent="0.3">
      <c r="A116" s="12">
        <v>2.2800000000000002</v>
      </c>
      <c r="B116" s="11">
        <v>25.108262100000001</v>
      </c>
      <c r="C116" s="8">
        <v>23.945432764021348</v>
      </c>
      <c r="D116" s="5">
        <f t="shared" si="6"/>
        <v>1.1628293359786532</v>
      </c>
      <c r="E116" s="6">
        <f t="shared" si="7"/>
        <v>4.8561633754468425E-2</v>
      </c>
    </row>
    <row r="117" spans="1:5" ht="15.75" thickBot="1" x14ac:dyDescent="0.3">
      <c r="A117" s="12">
        <v>2.3000000000000003</v>
      </c>
      <c r="B117" s="11">
        <v>25.123056200000001</v>
      </c>
      <c r="C117" s="8">
        <v>23.952485301940897</v>
      </c>
      <c r="D117" s="5">
        <f t="shared" si="6"/>
        <v>1.1705708980591041</v>
      </c>
      <c r="E117" s="6">
        <f t="shared" si="7"/>
        <v>4.88705402927124E-2</v>
      </c>
    </row>
    <row r="118" spans="1:5" ht="15.75" thickBot="1" x14ac:dyDescent="0.3">
      <c r="A118" s="12">
        <v>2.3199999999999998</v>
      </c>
      <c r="B118" s="11">
        <v>25.1376685</v>
      </c>
      <c r="C118" s="8">
        <v>23.95948843283179</v>
      </c>
      <c r="D118" s="5">
        <f t="shared" si="6"/>
        <v>1.1781800671682099</v>
      </c>
      <c r="E118" s="6">
        <f t="shared" si="7"/>
        <v>4.9173840688257128E-2</v>
      </c>
    </row>
    <row r="119" spans="1:5" ht="15.75" thickBot="1" x14ac:dyDescent="0.3">
      <c r="A119" s="12">
        <v>2.34</v>
      </c>
      <c r="B119" s="11">
        <v>25.152096199999999</v>
      </c>
      <c r="C119" s="8">
        <v>23.966442926743241</v>
      </c>
      <c r="D119" s="5">
        <f t="shared" si="6"/>
        <v>1.185653273256758</v>
      </c>
      <c r="E119" s="6">
        <f t="shared" si="7"/>
        <v>4.9471391181447819E-2</v>
      </c>
    </row>
    <row r="120" spans="1:5" ht="15.75" thickBot="1" x14ac:dyDescent="0.3">
      <c r="A120" s="12">
        <v>2.36</v>
      </c>
      <c r="B120" s="11">
        <v>25.166335499999999</v>
      </c>
      <c r="C120" s="8">
        <v>23.973349535238754</v>
      </c>
      <c r="D120" s="5">
        <f t="shared" si="6"/>
        <v>1.1929859647612453</v>
      </c>
      <c r="E120" s="6">
        <f t="shared" si="7"/>
        <v>4.9763007167924492E-2</v>
      </c>
    </row>
    <row r="121" spans="1:5" ht="15.75" thickBot="1" x14ac:dyDescent="0.3">
      <c r="A121" s="12">
        <v>2.38</v>
      </c>
      <c r="B121" s="11">
        <v>25.1803834</v>
      </c>
      <c r="C121" s="8">
        <v>23.980208991992811</v>
      </c>
      <c r="D121" s="5">
        <f t="shared" si="6"/>
        <v>1.2001744080071894</v>
      </c>
      <c r="E121" s="6">
        <f t="shared" si="7"/>
        <v>5.0048538292887169E-2</v>
      </c>
    </row>
    <row r="122" spans="1:5" ht="15.75" thickBot="1" x14ac:dyDescent="0.3">
      <c r="A122" s="12">
        <v>2.4</v>
      </c>
      <c r="B122" s="11">
        <v>25.1942378</v>
      </c>
      <c r="C122" s="8">
        <v>23.98702201336323</v>
      </c>
      <c r="D122" s="5">
        <f t="shared" si="6"/>
        <v>1.2072157866367696</v>
      </c>
      <c r="E122" s="6">
        <f t="shared" si="7"/>
        <v>5.0327872545588473E-2</v>
      </c>
    </row>
    <row r="123" spans="1:5" ht="15.75" thickBot="1" x14ac:dyDescent="0.3">
      <c r="A123" s="12">
        <v>2.42</v>
      </c>
      <c r="B123" s="11">
        <v>25.207896699999999</v>
      </c>
      <c r="C123" s="8">
        <v>23.993789298940783</v>
      </c>
      <c r="D123" s="5">
        <f t="shared" si="6"/>
        <v>1.2141074010592163</v>
      </c>
      <c r="E123" s="6">
        <f t="shared" si="7"/>
        <v>5.0600902839169869E-2</v>
      </c>
    </row>
    <row r="124" spans="1:5" ht="15.75" thickBot="1" x14ac:dyDescent="0.3">
      <c r="A124" s="12">
        <v>2.44</v>
      </c>
      <c r="B124" s="11">
        <v>25.2213587</v>
      </c>
      <c r="C124" s="8">
        <v>24.000511532077326</v>
      </c>
      <c r="D124" s="5">
        <f t="shared" si="6"/>
        <v>1.220847167922674</v>
      </c>
      <c r="E124" s="6">
        <f t="shared" si="7"/>
        <v>5.0867547814178009E-2</v>
      </c>
    </row>
    <row r="125" spans="1:5" ht="15.75" thickBot="1" x14ac:dyDescent="0.3">
      <c r="A125" s="12">
        <v>2.46</v>
      </c>
      <c r="B125" s="11">
        <v>25.234621799999999</v>
      </c>
      <c r="C125" s="8">
        <v>24.007189380392333</v>
      </c>
      <c r="D125" s="5">
        <f t="shared" si="6"/>
        <v>1.2274324196076662</v>
      </c>
      <c r="E125" s="6">
        <f t="shared" si="7"/>
        <v>5.1127701796286125E-2</v>
      </c>
    </row>
    <row r="126" spans="1:5" ht="15.75" thickBot="1" x14ac:dyDescent="0.3">
      <c r="A126" s="12">
        <v>2.48</v>
      </c>
      <c r="B126" s="11">
        <v>25.247684</v>
      </c>
      <c r="C126" s="8">
        <v>24.013823496260159</v>
      </c>
      <c r="D126" s="5">
        <f t="shared" si="6"/>
        <v>1.2338605037398409</v>
      </c>
      <c r="E126" s="6">
        <f t="shared" si="7"/>
        <v>5.1381259795300761E-2</v>
      </c>
    </row>
    <row r="127" spans="1:5" ht="15.75" thickBot="1" x14ac:dyDescent="0.3">
      <c r="A127" s="12">
        <v>2.5</v>
      </c>
      <c r="B127" s="11">
        <v>25.260543599999998</v>
      </c>
      <c r="C127" s="8">
        <v>24.020414517278653</v>
      </c>
      <c r="D127" s="5">
        <f t="shared" si="6"/>
        <v>1.2401290827213458</v>
      </c>
      <c r="E127" s="6">
        <f t="shared" si="7"/>
        <v>5.1628129973747175E-2</v>
      </c>
    </row>
    <row r="128" spans="1:5" ht="15.75" thickBot="1" x14ac:dyDescent="0.3">
      <c r="A128" s="12">
        <v>2.52</v>
      </c>
      <c r="B128" s="11">
        <v>25.273199000000002</v>
      </c>
      <c r="C128" s="8">
        <v>24.026963066718793</v>
      </c>
      <c r="D128" s="5">
        <f t="shared" si="6"/>
        <v>1.2462359332812092</v>
      </c>
      <c r="E128" s="6">
        <f t="shared" si="7"/>
        <v>5.186822528592664E-2</v>
      </c>
    </row>
    <row r="129" spans="1:5" ht="15.75" thickBot="1" x14ac:dyDescent="0.3">
      <c r="A129" s="12">
        <v>2.54</v>
      </c>
      <c r="B129" s="11">
        <v>25.285648599999998</v>
      </c>
      <c r="C129" s="8">
        <v>24.0334697539584</v>
      </c>
      <c r="D129" s="5">
        <f t="shared" si="6"/>
        <v>1.2521788460415983</v>
      </c>
      <c r="E129" s="6">
        <f t="shared" si="7"/>
        <v>5.2101459292425302E-2</v>
      </c>
    </row>
    <row r="130" spans="1:5" ht="15.75" thickBot="1" x14ac:dyDescent="0.3">
      <c r="A130" s="12">
        <v>2.56</v>
      </c>
      <c r="B130" s="11">
        <v>25.297890800000001</v>
      </c>
      <c r="C130" s="8">
        <v>24.039935174898233</v>
      </c>
      <c r="D130" s="5">
        <f t="shared" si="6"/>
        <v>1.2579556251017685</v>
      </c>
      <c r="E130" s="6">
        <f t="shared" si="7"/>
        <v>5.2327746141981588E-2</v>
      </c>
    </row>
    <row r="131" spans="1:5" ht="15.75" thickBot="1" x14ac:dyDescent="0.3">
      <c r="A131" s="12">
        <v>2.58</v>
      </c>
      <c r="B131" s="11">
        <v>25.309924200000001</v>
      </c>
      <c r="C131" s="8">
        <v>24.046359912363528</v>
      </c>
      <c r="D131" s="5">
        <f t="shared" ref="D131:D194" si="8">B131-C131</f>
        <v>1.2635642876364734</v>
      </c>
      <c r="E131" s="6">
        <f t="shared" ref="E131:E194" si="9">D131/C131</f>
        <v>5.2547008871259848E-2</v>
      </c>
    </row>
    <row r="132" spans="1:5" ht="15.75" thickBot="1" x14ac:dyDescent="0.3">
      <c r="A132" s="12">
        <v>2.6</v>
      </c>
      <c r="B132" s="11">
        <v>25.3217474</v>
      </c>
      <c r="C132" s="8">
        <v>24.052744536489627</v>
      </c>
      <c r="D132" s="5">
        <f t="shared" si="8"/>
        <v>1.2690028635103729</v>
      </c>
      <c r="E132" s="6">
        <f t="shared" si="9"/>
        <v>5.2759171061963865E-2</v>
      </c>
    </row>
    <row r="133" spans="1:5" ht="15.75" thickBot="1" x14ac:dyDescent="0.3">
      <c r="A133" s="12">
        <v>2.62</v>
      </c>
      <c r="B133" s="11">
        <v>25.333358799999999</v>
      </c>
      <c r="C133" s="8">
        <v>24.059089605094073</v>
      </c>
      <c r="D133" s="5">
        <f t="shared" si="8"/>
        <v>1.2742691949059264</v>
      </c>
      <c r="E133" s="6">
        <f t="shared" si="9"/>
        <v>5.2964148511925539E-2</v>
      </c>
    </row>
    <row r="134" spans="1:5" ht="15.75" thickBot="1" x14ac:dyDescent="0.3">
      <c r="A134" s="12">
        <v>2.64</v>
      </c>
      <c r="B134" s="11">
        <v>25.3447572</v>
      </c>
      <c r="C134" s="8">
        <v>24.065395664034554</v>
      </c>
      <c r="D134" s="5">
        <f t="shared" si="8"/>
        <v>1.279361535965446</v>
      </c>
      <c r="E134" s="6">
        <f t="shared" si="9"/>
        <v>5.3161874162635792E-2</v>
      </c>
    </row>
    <row r="135" spans="1:5" ht="15.75" thickBot="1" x14ac:dyDescent="0.3">
      <c r="A135" s="12">
        <v>2.66</v>
      </c>
      <c r="B135" s="11">
        <v>25.3559412</v>
      </c>
      <c r="C135" s="8">
        <v>24.071663247554284</v>
      </c>
      <c r="D135" s="5">
        <f t="shared" si="8"/>
        <v>1.2842779524457164</v>
      </c>
      <c r="E135" s="6">
        <f t="shared" si="9"/>
        <v>5.3352273137013122E-2</v>
      </c>
    </row>
    <row r="136" spans="1:5" ht="15.75" thickBot="1" x14ac:dyDescent="0.3">
      <c r="A136" s="12">
        <v>2.68</v>
      </c>
      <c r="B136" s="11">
        <v>25.3669093</v>
      </c>
      <c r="C136" s="8">
        <v>24.077892878614136</v>
      </c>
      <c r="D136" s="5">
        <f t="shared" si="8"/>
        <v>1.2890164213858633</v>
      </c>
      <c r="E136" s="6">
        <f t="shared" si="9"/>
        <v>5.3535266889187021E-2</v>
      </c>
    </row>
    <row r="137" spans="1:5" ht="15.75" thickBot="1" x14ac:dyDescent="0.3">
      <c r="A137" s="12">
        <v>2.7</v>
      </c>
      <c r="B137" s="11">
        <v>25.377660299999999</v>
      </c>
      <c r="C137" s="8">
        <v>24.08408506921387</v>
      </c>
      <c r="D137" s="5">
        <f t="shared" si="8"/>
        <v>1.2935752307861286</v>
      </c>
      <c r="E137" s="6">
        <f t="shared" si="9"/>
        <v>5.371078980449525E-2</v>
      </c>
    </row>
    <row r="138" spans="1:5" ht="15.75" thickBot="1" x14ac:dyDescent="0.3">
      <c r="A138" s="12">
        <v>2.72</v>
      </c>
      <c r="B138" s="11">
        <v>25.388192799999999</v>
      </c>
      <c r="C138" s="8">
        <v>24.090240320701071</v>
      </c>
      <c r="D138" s="5">
        <f t="shared" si="8"/>
        <v>1.2979524792989281</v>
      </c>
      <c r="E138" s="6">
        <f t="shared" si="9"/>
        <v>5.3878768414924443E-2</v>
      </c>
    </row>
    <row r="139" spans="1:5" ht="15.75" thickBot="1" x14ac:dyDescent="0.3">
      <c r="A139" s="12">
        <v>2.74</v>
      </c>
      <c r="B139" s="11">
        <v>25.398505499999999</v>
      </c>
      <c r="C139" s="8">
        <v>24.096359124069522</v>
      </c>
      <c r="D139" s="5">
        <f t="shared" si="8"/>
        <v>1.3021463759304766</v>
      </c>
      <c r="E139" s="6">
        <f t="shared" si="9"/>
        <v>5.4039133846979413E-2</v>
      </c>
    </row>
    <row r="140" spans="1:5" ht="15.75" thickBot="1" x14ac:dyDescent="0.3">
      <c r="A140" s="12">
        <v>2.7600000000000002</v>
      </c>
      <c r="B140" s="11">
        <v>25.408596899999999</v>
      </c>
      <c r="C140" s="8">
        <v>24.102441960247063</v>
      </c>
      <c r="D140" s="5">
        <f t="shared" si="8"/>
        <v>1.3061549397529362</v>
      </c>
      <c r="E140" s="6">
        <f t="shared" si="9"/>
        <v>5.4191809357210352E-2</v>
      </c>
    </row>
    <row r="141" spans="1:5" ht="15.75" thickBot="1" x14ac:dyDescent="0.3">
      <c r="A141" s="12">
        <v>2.7800000000000002</v>
      </c>
      <c r="B141" s="11">
        <v>25.418465600000001</v>
      </c>
      <c r="C141" s="8">
        <v>24.108489300373492</v>
      </c>
      <c r="D141" s="5">
        <f t="shared" si="8"/>
        <v>1.3099762996265092</v>
      </c>
      <c r="E141" s="6">
        <f t="shared" si="9"/>
        <v>5.4336722774504784E-2</v>
      </c>
    </row>
    <row r="142" spans="1:5" ht="15.75" thickBot="1" x14ac:dyDescent="0.3">
      <c r="A142" s="12">
        <v>2.8000000000000003</v>
      </c>
      <c r="B142" s="11">
        <v>25.428110499999999</v>
      </c>
      <c r="C142" s="8">
        <v>24.114501606068814</v>
      </c>
      <c r="D142" s="5">
        <f t="shared" si="8"/>
        <v>1.3136088939311854</v>
      </c>
      <c r="E142" s="6">
        <f t="shared" si="9"/>
        <v>5.4473814777104661E-2</v>
      </c>
    </row>
    <row r="143" spans="1:5" ht="15.75" thickBot="1" x14ac:dyDescent="0.3">
      <c r="A143" s="12">
        <v>2.82</v>
      </c>
      <c r="B143" s="11">
        <v>25.4375298</v>
      </c>
      <c r="C143" s="8">
        <v>24.120479329692046</v>
      </c>
      <c r="D143" s="5">
        <f t="shared" si="8"/>
        <v>1.3170504703079544</v>
      </c>
      <c r="E143" s="6">
        <f t="shared" si="9"/>
        <v>5.4602997407546532E-2</v>
      </c>
    </row>
    <row r="144" spans="1:5" ht="15.75" thickBot="1" x14ac:dyDescent="0.3">
      <c r="A144" s="12">
        <v>2.84</v>
      </c>
      <c r="B144" s="11">
        <v>25.446722000000001</v>
      </c>
      <c r="C144" s="8">
        <v>24.126422914591444</v>
      </c>
      <c r="D144" s="5">
        <f t="shared" si="8"/>
        <v>1.320299085408557</v>
      </c>
      <c r="E144" s="6">
        <f t="shared" si="9"/>
        <v>5.4724195546205563E-2</v>
      </c>
    </row>
    <row r="145" spans="1:5" ht="15.75" thickBot="1" x14ac:dyDescent="0.3">
      <c r="A145" s="12">
        <v>2.86</v>
      </c>
      <c r="B145" s="11">
        <v>25.455685500000001</v>
      </c>
      <c r="C145" s="8">
        <v>24.132332795346429</v>
      </c>
      <c r="D145" s="5">
        <f t="shared" si="8"/>
        <v>1.3233527046535727</v>
      </c>
      <c r="E145" s="6">
        <f t="shared" si="9"/>
        <v>5.4837330310178803E-2</v>
      </c>
    </row>
    <row r="146" spans="1:5" ht="15.75" thickBot="1" x14ac:dyDescent="0.3">
      <c r="A146" s="12">
        <v>2.88</v>
      </c>
      <c r="B146" s="11">
        <v>25.464418599999998</v>
      </c>
      <c r="C146" s="8">
        <v>24.138209398000868</v>
      </c>
      <c r="D146" s="5">
        <f t="shared" si="8"/>
        <v>1.3262092019991307</v>
      </c>
      <c r="E146" s="6">
        <f t="shared" si="9"/>
        <v>5.4942319048279023E-2</v>
      </c>
    </row>
    <row r="147" spans="1:5" ht="15.75" thickBot="1" x14ac:dyDescent="0.3">
      <c r="A147" s="12">
        <v>2.9</v>
      </c>
      <c r="B147" s="11">
        <v>25.472919600000001</v>
      </c>
      <c r="C147" s="8">
        <v>24.144053140288975</v>
      </c>
      <c r="D147" s="5">
        <f t="shared" si="8"/>
        <v>1.3288664597110262</v>
      </c>
      <c r="E147" s="6">
        <f t="shared" si="9"/>
        <v>5.5039079478066515E-2</v>
      </c>
    </row>
    <row r="148" spans="1:5" ht="15.75" thickBot="1" x14ac:dyDescent="0.3">
      <c r="A148" s="12">
        <v>2.92</v>
      </c>
      <c r="B148" s="11">
        <v>25.481186900000001</v>
      </c>
      <c r="C148" s="8">
        <v>24.149864431853587</v>
      </c>
      <c r="D148" s="5">
        <f t="shared" si="8"/>
        <v>1.3313224681464142</v>
      </c>
      <c r="E148" s="6">
        <f t="shared" si="9"/>
        <v>5.512753381714245E-2</v>
      </c>
    </row>
    <row r="149" spans="1:5" ht="15.75" thickBot="1" x14ac:dyDescent="0.3">
      <c r="A149" s="12">
        <v>2.94</v>
      </c>
      <c r="B149" s="11">
        <v>25.4892185</v>
      </c>
      <c r="C149" s="8">
        <v>24.155643674457224</v>
      </c>
      <c r="D149" s="5">
        <f t="shared" si="8"/>
        <v>1.333574825542776</v>
      </c>
      <c r="E149" s="6">
        <f t="shared" si="9"/>
        <v>5.5207588069902315E-2</v>
      </c>
    </row>
    <row r="150" spans="1:5" ht="15.75" thickBot="1" x14ac:dyDescent="0.3">
      <c r="A150" s="12">
        <v>2.96</v>
      </c>
      <c r="B150" s="11">
        <v>25.4970125</v>
      </c>
      <c r="C150" s="8">
        <v>24.161391262186385</v>
      </c>
      <c r="D150" s="5">
        <f t="shared" si="8"/>
        <v>1.3356212378136156</v>
      </c>
      <c r="E150" s="6">
        <f t="shared" si="9"/>
        <v>5.5279152732563057E-2</v>
      </c>
    </row>
    <row r="151" spans="1:5" ht="15.75" thickBot="1" x14ac:dyDescent="0.3">
      <c r="A151" s="12">
        <v>2.98</v>
      </c>
      <c r="B151" s="11">
        <v>25.504567000000002</v>
      </c>
      <c r="C151" s="8">
        <v>24.167107581648906</v>
      </c>
      <c r="D151" s="5">
        <f t="shared" si="8"/>
        <v>1.3374594183510951</v>
      </c>
      <c r="E151" s="6">
        <f t="shared" si="9"/>
        <v>5.5342138641642155E-2</v>
      </c>
    </row>
    <row r="152" spans="1:5" ht="15.75" thickBot="1" x14ac:dyDescent="0.3">
      <c r="A152" s="12">
        <v>3</v>
      </c>
      <c r="B152" s="11">
        <v>25.511879799999999</v>
      </c>
      <c r="C152" s="8">
        <v>24.172793012165243</v>
      </c>
      <c r="D152" s="5">
        <f t="shared" si="8"/>
        <v>1.3390867878347557</v>
      </c>
      <c r="E152" s="6">
        <f t="shared" si="9"/>
        <v>5.5396444554869785E-2</v>
      </c>
    </row>
    <row r="153" spans="1:5" ht="15.75" thickBot="1" x14ac:dyDescent="0.3">
      <c r="A153" s="12">
        <v>3.02</v>
      </c>
      <c r="B153" s="11">
        <v>25.518948999999999</v>
      </c>
      <c r="C153" s="8">
        <v>24.178447925953549</v>
      </c>
      <c r="D153" s="5">
        <f t="shared" si="8"/>
        <v>1.3405010740464505</v>
      </c>
      <c r="E153" s="6">
        <f t="shared" si="9"/>
        <v>5.5441981973025418E-2</v>
      </c>
    </row>
    <row r="154" spans="1:5" ht="15.75" thickBot="1" x14ac:dyDescent="0.3">
      <c r="A154" s="12">
        <v>3.04</v>
      </c>
      <c r="B154" s="11">
        <v>25.525772400000001</v>
      </c>
      <c r="C154" s="8">
        <v>24.184072688308902</v>
      </c>
      <c r="D154" s="5">
        <f t="shared" si="8"/>
        <v>1.3416997116910991</v>
      </c>
      <c r="E154" s="6">
        <f t="shared" si="9"/>
        <v>5.5478650307717009E-2</v>
      </c>
    </row>
    <row r="155" spans="1:5" ht="15.75" thickBot="1" x14ac:dyDescent="0.3">
      <c r="A155" s="12">
        <v>3.06</v>
      </c>
      <c r="B155" s="11">
        <v>25.532347600000001</v>
      </c>
      <c r="C155" s="8">
        <v>24.189667657776511</v>
      </c>
      <c r="D155" s="5">
        <f t="shared" si="8"/>
        <v>1.3426799422234907</v>
      </c>
      <c r="E155" s="6">
        <f t="shared" si="9"/>
        <v>5.5506341022086972E-2</v>
      </c>
    </row>
    <row r="156" spans="1:5" ht="15.75" thickBot="1" x14ac:dyDescent="0.3">
      <c r="A156" s="12">
        <v>3.08</v>
      </c>
      <c r="B156" s="11">
        <v>25.538672099999999</v>
      </c>
      <c r="C156" s="8">
        <v>24.195233186320024</v>
      </c>
      <c r="D156" s="5">
        <f t="shared" si="8"/>
        <v>1.3434389136799751</v>
      </c>
      <c r="E156" s="6">
        <f t="shared" si="9"/>
        <v>5.5524941765783639E-2</v>
      </c>
    </row>
    <row r="157" spans="1:5" ht="15.75" thickBot="1" x14ac:dyDescent="0.3">
      <c r="A157" s="12">
        <v>3.1</v>
      </c>
      <c r="B157" s="11">
        <v>25.544743400000002</v>
      </c>
      <c r="C157" s="8">
        <v>24.20076961948422</v>
      </c>
      <c r="D157" s="5">
        <f t="shared" si="8"/>
        <v>1.3439737805157819</v>
      </c>
      <c r="E157" s="6">
        <f t="shared" si="9"/>
        <v>5.5534340504350681E-2</v>
      </c>
    </row>
    <row r="158" spans="1:5" ht="15.75" thickBot="1" x14ac:dyDescent="0.3">
      <c r="A158" s="12">
        <v>3.12</v>
      </c>
      <c r="B158" s="11">
        <v>25.5505587</v>
      </c>
      <c r="C158" s="8">
        <v>24.206277296552685</v>
      </c>
      <c r="D158" s="5">
        <f t="shared" si="8"/>
        <v>1.3442814034473152</v>
      </c>
      <c r="E158" s="6">
        <f t="shared" si="9"/>
        <v>5.5534413118483103E-2</v>
      </c>
    </row>
    <row r="159" spans="1:5" ht="15.75" thickBot="1" x14ac:dyDescent="0.3">
      <c r="A159" s="12">
        <v>3.14</v>
      </c>
      <c r="B159" s="11">
        <v>25.556115399999999</v>
      </c>
      <c r="C159" s="8">
        <v>24.211756550700841</v>
      </c>
      <c r="D159" s="5">
        <f t="shared" si="8"/>
        <v>1.3443588492991587</v>
      </c>
      <c r="E159" s="6">
        <f t="shared" si="9"/>
        <v>5.5525044062127105E-2</v>
      </c>
    </row>
    <row r="160" spans="1:5" ht="15.75" thickBot="1" x14ac:dyDescent="0.3">
      <c r="A160" s="12">
        <v>3.16</v>
      </c>
      <c r="B160" s="11">
        <v>25.561410500000001</v>
      </c>
      <c r="C160" s="8">
        <v>24.217207709143906</v>
      </c>
      <c r="D160" s="5">
        <f t="shared" si="8"/>
        <v>1.3442027908560945</v>
      </c>
      <c r="E160" s="6">
        <f t="shared" si="9"/>
        <v>5.5506101570436291E-2</v>
      </c>
    </row>
    <row r="161" spans="1:5" ht="15.75" thickBot="1" x14ac:dyDescent="0.3">
      <c r="A161" s="12">
        <v>3.18</v>
      </c>
      <c r="B161" s="11">
        <v>25.5664403</v>
      </c>
      <c r="C161" s="8">
        <v>24.222631093280825</v>
      </c>
      <c r="D161" s="5">
        <f t="shared" si="8"/>
        <v>1.3438092067191754</v>
      </c>
      <c r="E161" s="6">
        <f t="shared" si="9"/>
        <v>5.5477425286468485E-2</v>
      </c>
    </row>
    <row r="162" spans="1:5" ht="15.75" thickBot="1" x14ac:dyDescent="0.3">
      <c r="A162" s="12">
        <v>3.2</v>
      </c>
      <c r="B162" s="11">
        <v>25.571203300000001</v>
      </c>
      <c r="C162" s="8">
        <v>24.228027018833473</v>
      </c>
      <c r="D162" s="5">
        <f t="shared" si="8"/>
        <v>1.343176281166528</v>
      </c>
      <c r="E162" s="6">
        <f t="shared" si="9"/>
        <v>5.5438945982783497E-2</v>
      </c>
    </row>
    <row r="163" spans="1:5" ht="15.75" thickBot="1" x14ac:dyDescent="0.3">
      <c r="A163" s="12">
        <v>3.22</v>
      </c>
      <c r="B163" s="11">
        <v>25.575698299999999</v>
      </c>
      <c r="C163" s="8">
        <v>24.233395795981721</v>
      </c>
      <c r="D163" s="5">
        <f t="shared" si="8"/>
        <v>1.3423025040182779</v>
      </c>
      <c r="E163" s="6">
        <f t="shared" si="9"/>
        <v>5.5390607049832147E-2</v>
      </c>
    </row>
    <row r="164" spans="1:5" ht="15.75" thickBot="1" x14ac:dyDescent="0.3">
      <c r="A164" s="12">
        <v>3.24</v>
      </c>
      <c r="B164" s="11">
        <v>25.5799205</v>
      </c>
      <c r="C164" s="8">
        <v>24.238737729494744</v>
      </c>
      <c r="D164" s="5">
        <f t="shared" si="8"/>
        <v>1.3411827705052559</v>
      </c>
      <c r="E164" s="6">
        <f t="shared" si="9"/>
        <v>5.5332203577302903E-2</v>
      </c>
    </row>
    <row r="165" spans="1:5" ht="15.75" thickBot="1" x14ac:dyDescent="0.3">
      <c r="A165" s="12">
        <v>3.2600000000000002</v>
      </c>
      <c r="B165" s="11">
        <v>25.583866</v>
      </c>
      <c r="C165" s="8">
        <v>24.244053118858176</v>
      </c>
      <c r="D165" s="5">
        <f t="shared" si="8"/>
        <v>1.3398128811418246</v>
      </c>
      <c r="E165" s="6">
        <f t="shared" si="9"/>
        <v>5.5263568124244641E-2</v>
      </c>
    </row>
    <row r="166" spans="1:5" ht="15.75" thickBot="1" x14ac:dyDescent="0.3">
      <c r="A166" s="12">
        <v>3.2800000000000002</v>
      </c>
      <c r="B166" s="11">
        <v>25.587538299999999</v>
      </c>
      <c r="C166" s="8">
        <v>24.249342258397348</v>
      </c>
      <c r="D166" s="5">
        <f t="shared" si="8"/>
        <v>1.3381960416026502</v>
      </c>
      <c r="E166" s="6">
        <f t="shared" si="9"/>
        <v>5.5184838720285033E-2</v>
      </c>
    </row>
    <row r="167" spans="1:5" ht="15.75" thickBot="1" x14ac:dyDescent="0.3">
      <c r="A167" s="12">
        <v>3.3000000000000003</v>
      </c>
      <c r="B167" s="11">
        <v>25.590931399999999</v>
      </c>
      <c r="C167" s="8">
        <v>24.254605437397458</v>
      </c>
      <c r="D167" s="5">
        <f t="shared" si="8"/>
        <v>1.3363259626025403</v>
      </c>
      <c r="E167" s="6">
        <f t="shared" si="9"/>
        <v>5.5095761753439984E-2</v>
      </c>
    </row>
    <row r="168" spans="1:5" ht="15.75" thickBot="1" x14ac:dyDescent="0.3">
      <c r="A168" s="12">
        <v>3.3200000000000003</v>
      </c>
      <c r="B168" s="11">
        <v>25.5940291</v>
      </c>
      <c r="C168" s="8">
        <v>24.259842940219812</v>
      </c>
      <c r="D168" s="5">
        <f t="shared" si="8"/>
        <v>1.3341861597801881</v>
      </c>
      <c r="E168" s="6">
        <f t="shared" si="9"/>
        <v>5.4995663536150631E-2</v>
      </c>
    </row>
    <row r="169" spans="1:5" ht="15.75" thickBot="1" x14ac:dyDescent="0.3">
      <c r="A169" s="12">
        <v>3.34</v>
      </c>
      <c r="B169" s="11">
        <v>25.596819700000001</v>
      </c>
      <c r="C169" s="8">
        <v>24.265055046414716</v>
      </c>
      <c r="D169" s="5">
        <f t="shared" si="8"/>
        <v>1.3317646535852852</v>
      </c>
      <c r="E169" s="6">
        <f t="shared" si="9"/>
        <v>5.4884056559437316E-2</v>
      </c>
    </row>
    <row r="170" spans="1:5" ht="15.75" thickBot="1" x14ac:dyDescent="0.3">
      <c r="A170" s="12">
        <v>3.36</v>
      </c>
      <c r="B170" s="11">
        <v>25.599290199999999</v>
      </c>
      <c r="C170" s="8">
        <v>24.270242030831298</v>
      </c>
      <c r="D170" s="5">
        <f t="shared" si="8"/>
        <v>1.3290481691687006</v>
      </c>
      <c r="E170" s="6">
        <f t="shared" si="9"/>
        <v>5.476040030751924E-2</v>
      </c>
    </row>
    <row r="171" spans="1:5" ht="15.75" thickBot="1" x14ac:dyDescent="0.3">
      <c r="A171" s="12">
        <v>3.38</v>
      </c>
      <c r="B171" s="11">
        <v>25.6014245</v>
      </c>
      <c r="C171" s="8">
        <v>24.27540416372409</v>
      </c>
      <c r="D171" s="5">
        <f t="shared" si="8"/>
        <v>1.32602033627591</v>
      </c>
      <c r="E171" s="6">
        <f t="shared" si="9"/>
        <v>5.462402715656723E-2</v>
      </c>
    </row>
    <row r="172" spans="1:5" ht="15.75" thickBot="1" x14ac:dyDescent="0.3">
      <c r="A172" s="12">
        <v>3.4</v>
      </c>
      <c r="B172" s="11">
        <v>25.603206700000001</v>
      </c>
      <c r="C172" s="8">
        <v>24.280541710856426</v>
      </c>
      <c r="D172" s="5">
        <f t="shared" si="8"/>
        <v>1.3226649891435756</v>
      </c>
      <c r="E172" s="6">
        <f t="shared" si="9"/>
        <v>5.4474278411678914E-2</v>
      </c>
    </row>
    <row r="173" spans="1:5" ht="15.75" thickBot="1" x14ac:dyDescent="0.3">
      <c r="A173" s="12">
        <v>3.42</v>
      </c>
      <c r="B173" s="11">
        <v>25.6046251</v>
      </c>
      <c r="C173" s="8">
        <v>24.285654933601336</v>
      </c>
      <c r="D173" s="5">
        <f t="shared" si="8"/>
        <v>1.3189701663986639</v>
      </c>
      <c r="E173" s="6">
        <f t="shared" si="9"/>
        <v>5.4310668993890421E-2</v>
      </c>
    </row>
    <row r="174" spans="1:5" ht="15.75" thickBot="1" x14ac:dyDescent="0.3">
      <c r="A174" s="12">
        <v>3.44</v>
      </c>
      <c r="B174" s="11">
        <v>25.6056758</v>
      </c>
      <c r="C174" s="8">
        <v>24.290744089039151</v>
      </c>
      <c r="D174" s="5">
        <f t="shared" si="8"/>
        <v>1.3149317109608489</v>
      </c>
      <c r="E174" s="6">
        <f t="shared" si="9"/>
        <v>5.4133035453376374E-2</v>
      </c>
    </row>
    <row r="175" spans="1:5" ht="15.75" thickBot="1" x14ac:dyDescent="0.3">
      <c r="A175" s="12">
        <v>3.46</v>
      </c>
      <c r="B175" s="11">
        <v>25.6063592</v>
      </c>
      <c r="C175" s="8">
        <v>24.2958094300526</v>
      </c>
      <c r="D175" s="5">
        <f t="shared" si="8"/>
        <v>1.3105497699474</v>
      </c>
      <c r="E175" s="6">
        <f t="shared" si="9"/>
        <v>5.3941391568799554E-2</v>
      </c>
    </row>
    <row r="176" spans="1:5" ht="15.75" thickBot="1" x14ac:dyDescent="0.3">
      <c r="A176" s="12">
        <v>3.48</v>
      </c>
      <c r="B176" s="11">
        <v>25.6066833</v>
      </c>
      <c r="C176" s="8">
        <v>24.300851205419292</v>
      </c>
      <c r="D176" s="5">
        <f t="shared" si="8"/>
        <v>1.3058320945807083</v>
      </c>
      <c r="E176" s="6">
        <f t="shared" si="9"/>
        <v>5.3736063956866531E-2</v>
      </c>
    </row>
    <row r="177" spans="1:5" ht="15.75" thickBot="1" x14ac:dyDescent="0.3">
      <c r="A177" s="12">
        <v>3.5</v>
      </c>
      <c r="B177" s="11">
        <v>25.6066833</v>
      </c>
      <c r="C177" s="8">
        <v>24.305869659901475</v>
      </c>
      <c r="D177" s="5">
        <f t="shared" si="8"/>
        <v>1.3008136400985251</v>
      </c>
      <c r="E177" s="6">
        <f t="shared" si="9"/>
        <v>5.3518498136461985E-2</v>
      </c>
    </row>
    <row r="178" spans="1:5" ht="15.75" thickBot="1" x14ac:dyDescent="0.3">
      <c r="A178" s="12">
        <v>3.52</v>
      </c>
      <c r="B178" s="11">
        <v>25.6066833</v>
      </c>
      <c r="C178" s="8">
        <v>24.31086503433346</v>
      </c>
      <c r="D178" s="5">
        <f t="shared" si="8"/>
        <v>1.29581826566654</v>
      </c>
      <c r="E178" s="6">
        <f t="shared" si="9"/>
        <v>5.3302022113836639E-2</v>
      </c>
    </row>
    <row r="179" spans="1:5" ht="15.75" thickBot="1" x14ac:dyDescent="0.3">
      <c r="A179" s="12">
        <v>3.54</v>
      </c>
      <c r="B179" s="11">
        <v>25.6066833</v>
      </c>
      <c r="C179" s="8">
        <v>24.315837565706772</v>
      </c>
      <c r="D179" s="5">
        <f t="shared" si="8"/>
        <v>1.290845734293228</v>
      </c>
      <c r="E179" s="6">
        <f t="shared" si="9"/>
        <v>5.3086624337125021E-2</v>
      </c>
    </row>
    <row r="180" spans="1:5" ht="15.75" thickBot="1" x14ac:dyDescent="0.3">
      <c r="A180" s="12">
        <v>3.56</v>
      </c>
      <c r="B180" s="11">
        <v>25.6066833</v>
      </c>
      <c r="C180" s="8">
        <v>24.320787487252574</v>
      </c>
      <c r="D180" s="5">
        <f t="shared" si="8"/>
        <v>1.2858958127474267</v>
      </c>
      <c r="E180" s="6">
        <f t="shared" si="9"/>
        <v>5.2872293441214122E-2</v>
      </c>
    </row>
    <row r="181" spans="1:5" ht="15.75" thickBot="1" x14ac:dyDescent="0.3">
      <c r="A181" s="12">
        <v>3.58</v>
      </c>
      <c r="B181" s="11">
        <v>25.6066833</v>
      </c>
      <c r="C181" s="8">
        <v>24.325715028522382</v>
      </c>
      <c r="D181" s="5">
        <f t="shared" si="8"/>
        <v>1.2809682714776187</v>
      </c>
      <c r="E181" s="6">
        <f t="shared" si="9"/>
        <v>5.2659018243684026E-2</v>
      </c>
    </row>
    <row r="182" spans="1:5" ht="15.75" thickBot="1" x14ac:dyDescent="0.3">
      <c r="A182" s="12">
        <v>3.6</v>
      </c>
      <c r="B182" s="11">
        <v>25.6066833</v>
      </c>
      <c r="C182" s="8">
        <v>24.330620415466171</v>
      </c>
      <c r="D182" s="5">
        <f t="shared" si="8"/>
        <v>1.2760628845338289</v>
      </c>
      <c r="E182" s="6">
        <f t="shared" si="9"/>
        <v>5.2446787740878069E-2</v>
      </c>
    </row>
    <row r="183" spans="1:5" ht="15.75" thickBot="1" x14ac:dyDescent="0.3">
      <c r="A183" s="12">
        <v>3.62</v>
      </c>
      <c r="B183" s="11">
        <v>25.6066833</v>
      </c>
      <c r="C183" s="8">
        <v>24.33550387050883</v>
      </c>
      <c r="D183" s="5">
        <f t="shared" si="8"/>
        <v>1.2711794294911698</v>
      </c>
      <c r="E183" s="6">
        <f t="shared" si="9"/>
        <v>5.2235591104060043E-2</v>
      </c>
    </row>
    <row r="184" spans="1:5" ht="15.75" thickBot="1" x14ac:dyDescent="0.3">
      <c r="A184" s="12">
        <v>3.64</v>
      </c>
      <c r="B184" s="11">
        <v>25.6066833</v>
      </c>
      <c r="C184" s="8">
        <v>24.340365612623998</v>
      </c>
      <c r="D184" s="5">
        <f t="shared" si="8"/>
        <v>1.2663176873760023</v>
      </c>
      <c r="E184" s="6">
        <f t="shared" si="9"/>
        <v>5.2025417675699723E-2</v>
      </c>
    </row>
    <row r="185" spans="1:5" ht="15.75" thickBot="1" x14ac:dyDescent="0.3">
      <c r="A185" s="12">
        <v>3.66</v>
      </c>
      <c r="B185" s="11">
        <v>25.6066833</v>
      </c>
      <c r="C185" s="8">
        <v>24.345205857406597</v>
      </c>
      <c r="D185" s="5">
        <f t="shared" si="8"/>
        <v>1.261477442593403</v>
      </c>
      <c r="E185" s="6">
        <f t="shared" si="9"/>
        <v>5.1816256965829713E-2</v>
      </c>
    </row>
    <row r="186" spans="1:5" ht="15.75" thickBot="1" x14ac:dyDescent="0.3">
      <c r="A186" s="12">
        <v>3.68</v>
      </c>
      <c r="B186" s="11">
        <v>25.6066833</v>
      </c>
      <c r="C186" s="8">
        <v>24.350024817143094</v>
      </c>
      <c r="D186" s="5">
        <f t="shared" si="8"/>
        <v>1.2566584828569063</v>
      </c>
      <c r="E186" s="6">
        <f t="shared" si="9"/>
        <v>5.1608098648514879E-2</v>
      </c>
    </row>
    <row r="187" spans="1:5" ht="15.75" thickBot="1" x14ac:dyDescent="0.3">
      <c r="A187" s="12">
        <v>3.7</v>
      </c>
      <c r="B187" s="11">
        <v>25.6066833</v>
      </c>
      <c r="C187" s="8">
        <v>24.354822700879765</v>
      </c>
      <c r="D187" s="5">
        <f t="shared" si="8"/>
        <v>1.251860599120235</v>
      </c>
      <c r="E187" s="6">
        <f t="shared" si="9"/>
        <v>5.1400932558421548E-2</v>
      </c>
    </row>
    <row r="188" spans="1:5" ht="15.75" thickBot="1" x14ac:dyDescent="0.3">
      <c r="A188" s="12">
        <v>3.72</v>
      </c>
      <c r="B188" s="11">
        <v>25.6066833</v>
      </c>
      <c r="C188" s="8">
        <v>24.359599714489775</v>
      </c>
      <c r="D188" s="5">
        <f t="shared" si="8"/>
        <v>1.2470835855102251</v>
      </c>
      <c r="E188" s="6">
        <f t="shared" si="9"/>
        <v>5.119474868745174E-2</v>
      </c>
    </row>
    <row r="189" spans="1:5" ht="15.75" thickBot="1" x14ac:dyDescent="0.3">
      <c r="A189" s="12">
        <v>3.74</v>
      </c>
      <c r="B189" s="11">
        <v>25.6066833</v>
      </c>
      <c r="C189" s="8">
        <v>24.364356060737748</v>
      </c>
      <c r="D189" s="5">
        <f t="shared" si="8"/>
        <v>1.2423272392622522</v>
      </c>
      <c r="E189" s="6">
        <f t="shared" si="9"/>
        <v>5.0989537181498353E-2</v>
      </c>
    </row>
    <row r="190" spans="1:5" ht="15.75" thickBot="1" x14ac:dyDescent="0.3">
      <c r="A190" s="12">
        <v>3.7600000000000002</v>
      </c>
      <c r="B190" s="11">
        <v>25.6066833</v>
      </c>
      <c r="C190" s="8">
        <v>24.369091939343434</v>
      </c>
      <c r="D190" s="5">
        <f t="shared" si="8"/>
        <v>1.2375913606565661</v>
      </c>
      <c r="E190" s="6">
        <f t="shared" si="9"/>
        <v>5.0785288337252259E-2</v>
      </c>
    </row>
    <row r="191" spans="1:5" ht="15.75" thickBot="1" x14ac:dyDescent="0.3">
      <c r="A191" s="12">
        <v>3.7800000000000002</v>
      </c>
      <c r="B191" s="11">
        <v>25.6066833</v>
      </c>
      <c r="C191" s="8">
        <v>24.37380754704327</v>
      </c>
      <c r="D191" s="5">
        <f t="shared" si="8"/>
        <v>1.2328757529567298</v>
      </c>
      <c r="E191" s="6">
        <f t="shared" si="9"/>
        <v>5.058199259911228E-2</v>
      </c>
    </row>
    <row r="192" spans="1:5" ht="15.75" thickBot="1" x14ac:dyDescent="0.3">
      <c r="A192" s="12">
        <v>3.8000000000000003</v>
      </c>
      <c r="B192" s="11">
        <v>25.6066833</v>
      </c>
      <c r="C192" s="8">
        <v>24.37850307765035</v>
      </c>
      <c r="D192" s="5">
        <f t="shared" si="8"/>
        <v>1.2281802223496499</v>
      </c>
      <c r="E192" s="6">
        <f t="shared" si="9"/>
        <v>5.0379640556175789E-2</v>
      </c>
    </row>
    <row r="193" spans="1:5" ht="15.75" thickBot="1" x14ac:dyDescent="0.3">
      <c r="A193" s="12">
        <v>3.8200000000000003</v>
      </c>
      <c r="B193" s="11">
        <v>25.6066833</v>
      </c>
      <c r="C193" s="8">
        <v>24.383178722113314</v>
      </c>
      <c r="D193" s="5">
        <f t="shared" si="8"/>
        <v>1.2235045778866862</v>
      </c>
      <c r="E193" s="6">
        <f t="shared" si="9"/>
        <v>5.0178222939287212E-2</v>
      </c>
    </row>
    <row r="194" spans="1:5" ht="15.75" thickBot="1" x14ac:dyDescent="0.3">
      <c r="A194" s="12">
        <v>3.84</v>
      </c>
      <c r="B194" s="11">
        <v>25.6066833</v>
      </c>
      <c r="C194" s="8">
        <v>24.387834668573248</v>
      </c>
      <c r="D194" s="5">
        <f t="shared" si="8"/>
        <v>1.2188486314267521</v>
      </c>
      <c r="E194" s="6">
        <f t="shared" si="9"/>
        <v>4.9977730618183579E-2</v>
      </c>
    </row>
    <row r="195" spans="1:5" ht="15.75" thickBot="1" x14ac:dyDescent="0.3">
      <c r="A195" s="12">
        <v>3.86</v>
      </c>
      <c r="B195" s="11">
        <v>25.6066833</v>
      </c>
      <c r="C195" s="8">
        <v>24.392471102419393</v>
      </c>
      <c r="D195" s="5">
        <f t="shared" ref="D195:D258" si="10">B195-C195</f>
        <v>1.2142121975806077</v>
      </c>
      <c r="E195" s="6">
        <f t="shared" ref="E195:E258" si="11">D195/C195</f>
        <v>4.9778154598702169E-2</v>
      </c>
    </row>
    <row r="196" spans="1:5" ht="15.75" thickBot="1" x14ac:dyDescent="0.3">
      <c r="A196" s="12">
        <v>3.88</v>
      </c>
      <c r="B196" s="11">
        <v>25.6066833</v>
      </c>
      <c r="C196" s="8">
        <v>24.397088206343653</v>
      </c>
      <c r="D196" s="5">
        <f t="shared" si="10"/>
        <v>1.2095950936563469</v>
      </c>
      <c r="E196" s="6">
        <f t="shared" si="11"/>
        <v>4.9579486020050204E-2</v>
      </c>
    </row>
    <row r="197" spans="1:5" ht="15.75" thickBot="1" x14ac:dyDescent="0.3">
      <c r="A197" s="12">
        <v>3.9</v>
      </c>
      <c r="B197" s="11">
        <v>25.6066833</v>
      </c>
      <c r="C197" s="8">
        <v>24.401686160393297</v>
      </c>
      <c r="D197" s="5">
        <f t="shared" si="10"/>
        <v>1.2049971396067036</v>
      </c>
      <c r="E197" s="6">
        <f t="shared" si="11"/>
        <v>4.9381716152162906E-2</v>
      </c>
    </row>
    <row r="198" spans="1:5" ht="15.75" thickBot="1" x14ac:dyDescent="0.3">
      <c r="A198" s="12">
        <v>3.92</v>
      </c>
      <c r="B198" s="11">
        <v>25.6066833</v>
      </c>
      <c r="C198" s="8">
        <v>24.406265142022789</v>
      </c>
      <c r="D198" s="5">
        <f t="shared" si="10"/>
        <v>1.2004181579772109</v>
      </c>
      <c r="E198" s="6">
        <f t="shared" si="11"/>
        <v>4.9184836393108215E-2</v>
      </c>
    </row>
    <row r="199" spans="1:5" ht="15.75" thickBot="1" x14ac:dyDescent="0.3">
      <c r="A199" s="12">
        <v>3.94</v>
      </c>
      <c r="B199" s="11">
        <v>25.6066833</v>
      </c>
      <c r="C199" s="8">
        <v>24.410825326144106</v>
      </c>
      <c r="D199" s="5">
        <f t="shared" si="10"/>
        <v>1.1958579738558939</v>
      </c>
      <c r="E199" s="6">
        <f t="shared" si="11"/>
        <v>4.8988838266567108E-2</v>
      </c>
    </row>
    <row r="200" spans="1:5" ht="15.75" thickBot="1" x14ac:dyDescent="0.3">
      <c r="A200" s="12">
        <v>3.96</v>
      </c>
      <c r="B200" s="11">
        <v>25.6066833</v>
      </c>
      <c r="C200" s="8">
        <v>24.415366885175786</v>
      </c>
      <c r="D200" s="5">
        <f t="shared" si="10"/>
        <v>1.1913164148242146</v>
      </c>
      <c r="E200" s="6">
        <f t="shared" si="11"/>
        <v>4.8793713419377001E-2</v>
      </c>
    </row>
    <row r="201" spans="1:5" ht="15.75" thickBot="1" x14ac:dyDescent="0.3">
      <c r="A201" s="12">
        <v>3.98</v>
      </c>
      <c r="B201" s="11">
        <v>25.6066833</v>
      </c>
      <c r="C201" s="8">
        <v>24.419889989091246</v>
      </c>
      <c r="D201" s="5">
        <f t="shared" si="10"/>
        <v>1.1867933109087545</v>
      </c>
      <c r="E201" s="6">
        <f t="shared" si="11"/>
        <v>4.8599453619115975E-2</v>
      </c>
    </row>
    <row r="202" spans="1:5" ht="15.75" thickBot="1" x14ac:dyDescent="0.3">
      <c r="A202" s="12">
        <v>4</v>
      </c>
      <c r="B202" s="11">
        <v>25.6066833</v>
      </c>
      <c r="C202" s="8">
        <v>24.424394805465113</v>
      </c>
      <c r="D202" s="5">
        <f t="shared" si="10"/>
        <v>1.1822884945348875</v>
      </c>
      <c r="E202" s="6">
        <f t="shared" si="11"/>
        <v>4.8406050751781289E-2</v>
      </c>
    </row>
    <row r="203" spans="1:5" ht="15.75" thickBot="1" x14ac:dyDescent="0.3">
      <c r="A203" s="12">
        <v>4.0199999999999996</v>
      </c>
      <c r="B203" s="11">
        <v>25.6066833</v>
      </c>
      <c r="C203" s="8">
        <v>24.428881499519264</v>
      </c>
      <c r="D203" s="5">
        <f t="shared" si="10"/>
        <v>1.1778018004807365</v>
      </c>
      <c r="E203" s="6">
        <f t="shared" si="11"/>
        <v>4.8213496819488624E-2</v>
      </c>
    </row>
    <row r="204" spans="1:5" ht="15.75" thickBot="1" x14ac:dyDescent="0.3">
      <c r="A204" s="12">
        <v>4.04</v>
      </c>
      <c r="B204" s="11">
        <v>25.6066833</v>
      </c>
      <c r="C204" s="8">
        <v>24.433350234167222</v>
      </c>
      <c r="D204" s="5">
        <f t="shared" si="10"/>
        <v>1.1733330658327787</v>
      </c>
      <c r="E204" s="6">
        <f t="shared" si="11"/>
        <v>4.8021783938250427E-2</v>
      </c>
    </row>
    <row r="205" spans="1:5" ht="15.75" thickBot="1" x14ac:dyDescent="0.3">
      <c r="A205" s="12">
        <v>4.0600000000000005</v>
      </c>
      <c r="B205" s="11">
        <v>25.6066833</v>
      </c>
      <c r="C205" s="8">
        <v>24.43780117005781</v>
      </c>
      <c r="D205" s="5">
        <f t="shared" si="10"/>
        <v>1.1688821299421903</v>
      </c>
      <c r="E205" s="6">
        <f t="shared" si="11"/>
        <v>4.7830904335794025E-2</v>
      </c>
    </row>
    <row r="206" spans="1:5" ht="15.75" thickBot="1" x14ac:dyDescent="0.3">
      <c r="A206" s="12">
        <v>4.08</v>
      </c>
      <c r="B206" s="11">
        <v>25.6066833</v>
      </c>
      <c r="C206" s="8">
        <v>24.442234465617503</v>
      </c>
      <c r="D206" s="5">
        <f t="shared" si="10"/>
        <v>1.1644488343824975</v>
      </c>
      <c r="E206" s="6">
        <f t="shared" si="11"/>
        <v>4.764085034944366E-2</v>
      </c>
    </row>
    <row r="207" spans="1:5" ht="15.75" thickBot="1" x14ac:dyDescent="0.3">
      <c r="A207" s="12">
        <v>4.0999999999999996</v>
      </c>
      <c r="B207" s="11">
        <v>25.6066833</v>
      </c>
      <c r="C207" s="8">
        <v>24.446650277092033</v>
      </c>
      <c r="D207" s="5">
        <f t="shared" si="10"/>
        <v>1.1600330229079674</v>
      </c>
      <c r="E207" s="6">
        <f t="shared" si="11"/>
        <v>4.7451614424041867E-2</v>
      </c>
    </row>
    <row r="208" spans="1:5" ht="15.75" thickBot="1" x14ac:dyDescent="0.3">
      <c r="A208" s="12">
        <v>4.12</v>
      </c>
      <c r="B208" s="11">
        <v>25.6066833</v>
      </c>
      <c r="C208" s="8">
        <v>24.451048758586865</v>
      </c>
      <c r="D208" s="5">
        <f t="shared" si="10"/>
        <v>1.1556345414131357</v>
      </c>
      <c r="E208" s="6">
        <f t="shared" si="11"/>
        <v>4.7263189109926954E-2</v>
      </c>
    </row>
    <row r="209" spans="1:5" ht="15.75" thickBot="1" x14ac:dyDescent="0.3">
      <c r="A209" s="12">
        <v>4.1400000000000006</v>
      </c>
      <c r="B209" s="11">
        <v>25.6066833</v>
      </c>
      <c r="C209" s="8">
        <v>24.4554300621067</v>
      </c>
      <c r="D209" s="5">
        <f t="shared" si="10"/>
        <v>1.1512532378933003</v>
      </c>
      <c r="E209" s="6">
        <f t="shared" si="11"/>
        <v>4.7075567060959146E-2</v>
      </c>
    </row>
    <row r="210" spans="1:5" ht="15.75" thickBot="1" x14ac:dyDescent="0.3">
      <c r="A210" s="12">
        <v>4.16</v>
      </c>
      <c r="B210" s="11">
        <v>25.6066833</v>
      </c>
      <c r="C210" s="8">
        <v>24.459794337594246</v>
      </c>
      <c r="D210" s="5">
        <f t="shared" si="10"/>
        <v>1.1468889624057539</v>
      </c>
      <c r="E210" s="6">
        <f t="shared" si="11"/>
        <v>4.6888741032585342E-2</v>
      </c>
    </row>
    <row r="211" spans="1:5" ht="15.75" thickBot="1" x14ac:dyDescent="0.3">
      <c r="A211" s="12">
        <v>4.18</v>
      </c>
      <c r="B211" s="11">
        <v>25.6066833</v>
      </c>
      <c r="C211" s="8">
        <v>24.46414173296796</v>
      </c>
      <c r="D211" s="5">
        <f t="shared" si="10"/>
        <v>1.1425415670320405</v>
      </c>
      <c r="E211" s="6">
        <f t="shared" si="11"/>
        <v>4.6702703879954538E-2</v>
      </c>
    </row>
    <row r="212" spans="1:5" ht="15.75" thickBot="1" x14ac:dyDescent="0.3">
      <c r="A212" s="12">
        <v>4.1999999999999993</v>
      </c>
      <c r="B212" s="11">
        <v>25.6066833</v>
      </c>
      <c r="C212" s="8">
        <v>24.46847239415888</v>
      </c>
      <c r="D212" s="5">
        <f t="shared" si="10"/>
        <v>1.1382109058411203</v>
      </c>
      <c r="E212" s="6">
        <f t="shared" si="11"/>
        <v>4.6517448556078811E-2</v>
      </c>
    </row>
    <row r="213" spans="1:5" ht="15.75" thickBot="1" x14ac:dyDescent="0.3">
      <c r="A213" s="12">
        <v>4.22</v>
      </c>
      <c r="B213" s="11">
        <v>25.6066833</v>
      </c>
      <c r="C213" s="8">
        <v>24.472786465146726</v>
      </c>
      <c r="D213" s="5">
        <f t="shared" si="10"/>
        <v>1.1338968348532745</v>
      </c>
      <c r="E213" s="6">
        <f t="shared" si="11"/>
        <v>4.6332968110032346E-2</v>
      </c>
    </row>
    <row r="214" spans="1:5" ht="15.75" thickBot="1" x14ac:dyDescent="0.3">
      <c r="A214" s="12">
        <v>4.24</v>
      </c>
      <c r="B214" s="11">
        <v>25.6066833</v>
      </c>
      <c r="C214" s="8">
        <v>24.477084087994911</v>
      </c>
      <c r="D214" s="5">
        <f t="shared" si="10"/>
        <v>1.1295992120050897</v>
      </c>
      <c r="E214" s="6">
        <f t="shared" si="11"/>
        <v>4.614925568520295E-2</v>
      </c>
    </row>
    <row r="215" spans="1:5" ht="15.75" thickBot="1" x14ac:dyDescent="0.3">
      <c r="A215" s="12">
        <v>4.26</v>
      </c>
      <c r="B215" s="11">
        <v>25.6066833</v>
      </c>
      <c r="C215" s="8">
        <v>24.481365402885388</v>
      </c>
      <c r="D215" s="5">
        <f t="shared" si="10"/>
        <v>1.1253178971146127</v>
      </c>
      <c r="E215" s="6">
        <f t="shared" si="11"/>
        <v>4.5966304517556941E-2</v>
      </c>
    </row>
    <row r="216" spans="1:5" ht="15.75" thickBot="1" x14ac:dyDescent="0.3">
      <c r="A216" s="12">
        <v>4.2799999999999994</v>
      </c>
      <c r="B216" s="11">
        <v>25.6066833</v>
      </c>
      <c r="C216" s="8">
        <v>24.48563054815196</v>
      </c>
      <c r="D216" s="5">
        <f t="shared" si="10"/>
        <v>1.1210527518480404</v>
      </c>
      <c r="E216" s="6">
        <f t="shared" si="11"/>
        <v>4.5784107933975637E-2</v>
      </c>
    </row>
    <row r="217" spans="1:5" ht="15.75" thickBot="1" x14ac:dyDescent="0.3">
      <c r="A217" s="12">
        <v>4.3</v>
      </c>
      <c r="B217" s="11">
        <v>25.6066833</v>
      </c>
      <c r="C217" s="8">
        <v>24.489879660313193</v>
      </c>
      <c r="D217" s="5">
        <f t="shared" si="10"/>
        <v>1.1168036396868075</v>
      </c>
      <c r="E217" s="6">
        <f t="shared" si="11"/>
        <v>4.560265935061459E-2</v>
      </c>
    </row>
    <row r="218" spans="1:5" ht="15.75" thickBot="1" x14ac:dyDescent="0.3">
      <c r="A218" s="12">
        <v>4.32</v>
      </c>
      <c r="B218" s="11">
        <v>25.6066833</v>
      </c>
      <c r="C218" s="8">
        <v>24.494112874104701</v>
      </c>
      <c r="D218" s="5">
        <f t="shared" si="10"/>
        <v>1.1125704258952993</v>
      </c>
      <c r="E218" s="6">
        <f t="shared" si="11"/>
        <v>4.5421952271295127E-2</v>
      </c>
    </row>
    <row r="219" spans="1:5" ht="15.75" thickBot="1" x14ac:dyDescent="0.3">
      <c r="A219" s="12">
        <v>4.34</v>
      </c>
      <c r="B219" s="11">
        <v>25.6066833</v>
      </c>
      <c r="C219" s="8">
        <v>24.49833032251064</v>
      </c>
      <c r="D219" s="5">
        <f t="shared" si="10"/>
        <v>1.1083529774893606</v>
      </c>
      <c r="E219" s="6">
        <f t="shared" si="11"/>
        <v>4.5241980285935429E-2</v>
      </c>
    </row>
    <row r="220" spans="1:5" ht="15.75" thickBot="1" x14ac:dyDescent="0.3">
      <c r="A220" s="12">
        <v>4.3599999999999994</v>
      </c>
      <c r="B220" s="11">
        <v>25.6066833</v>
      </c>
      <c r="C220" s="8">
        <v>24.502532136794173</v>
      </c>
      <c r="D220" s="5">
        <f t="shared" si="10"/>
        <v>1.1041511632058274</v>
      </c>
      <c r="E220" s="6">
        <f t="shared" si="11"/>
        <v>4.5062737069030565E-2</v>
      </c>
    </row>
    <row r="221" spans="1:5" ht="15.75" thickBot="1" x14ac:dyDescent="0.3">
      <c r="A221" s="12">
        <v>4.38</v>
      </c>
      <c r="B221" s="11">
        <v>25.6066833</v>
      </c>
      <c r="C221" s="8">
        <v>24.506718446527771</v>
      </c>
      <c r="D221" s="5">
        <f t="shared" si="10"/>
        <v>1.0999648534722297</v>
      </c>
      <c r="E221" s="6">
        <f t="shared" si="11"/>
        <v>4.4884216378144992E-2</v>
      </c>
    </row>
    <row r="222" spans="1:5" ht="15.75" thickBot="1" x14ac:dyDescent="0.3">
      <c r="A222" s="12">
        <v>4.4000000000000004</v>
      </c>
      <c r="B222" s="11">
        <v>25.6066833</v>
      </c>
      <c r="C222" s="8">
        <v>24.51088937962254</v>
      </c>
      <c r="D222" s="5">
        <f t="shared" si="10"/>
        <v>1.09579392037746</v>
      </c>
      <c r="E222" s="6">
        <f t="shared" si="11"/>
        <v>4.4706412052451398E-2</v>
      </c>
    </row>
    <row r="223" spans="1:5" ht="15.75" thickBot="1" x14ac:dyDescent="0.3">
      <c r="A223" s="12">
        <v>4.42</v>
      </c>
      <c r="B223" s="11">
        <v>25.6066833</v>
      </c>
      <c r="C223" s="8">
        <v>24.51504506235699</v>
      </c>
      <c r="D223" s="5">
        <f t="shared" si="10"/>
        <v>1.0916382376430107</v>
      </c>
      <c r="E223" s="6">
        <f t="shared" si="11"/>
        <v>4.4529318011298634E-2</v>
      </c>
    </row>
    <row r="224" spans="1:5" ht="15.75" thickBot="1" x14ac:dyDescent="0.3">
      <c r="A224" s="12">
        <v>4.4399999999999995</v>
      </c>
      <c r="B224" s="11">
        <v>25.6066833</v>
      </c>
      <c r="C224" s="8">
        <v>24.519185619405221</v>
      </c>
      <c r="D224" s="5">
        <f t="shared" si="10"/>
        <v>1.0874976805947796</v>
      </c>
      <c r="E224" s="6">
        <f t="shared" si="11"/>
        <v>4.4352928252808739E-2</v>
      </c>
    </row>
    <row r="225" spans="1:5" ht="15.75" thickBot="1" x14ac:dyDescent="0.3">
      <c r="A225" s="12">
        <v>4.46</v>
      </c>
      <c r="B225" s="11">
        <v>25.6066833</v>
      </c>
      <c r="C225" s="8">
        <v>24.523311173864386</v>
      </c>
      <c r="D225" s="5">
        <f t="shared" si="10"/>
        <v>1.0833721261356146</v>
      </c>
      <c r="E225" s="6">
        <f t="shared" si="11"/>
        <v>4.4177236852510106E-2</v>
      </c>
    </row>
    <row r="226" spans="1:5" ht="15.75" thickBot="1" x14ac:dyDescent="0.3">
      <c r="A226" s="12">
        <v>4.4800000000000004</v>
      </c>
      <c r="B226" s="11">
        <v>25.6066833</v>
      </c>
      <c r="C226" s="8">
        <v>24.52742184728146</v>
      </c>
      <c r="D226" s="5">
        <f t="shared" si="10"/>
        <v>1.0792614527185407</v>
      </c>
      <c r="E226" s="6">
        <f t="shared" si="11"/>
        <v>4.4002237962004254E-2</v>
      </c>
    </row>
    <row r="227" spans="1:5" ht="15.75" thickBot="1" x14ac:dyDescent="0.3">
      <c r="A227" s="12">
        <v>4.5</v>
      </c>
      <c r="B227" s="11">
        <v>25.6066833</v>
      </c>
      <c r="C227" s="8">
        <v>24.531517759680128</v>
      </c>
      <c r="D227" s="5">
        <f t="shared" si="10"/>
        <v>1.0751655403198725</v>
      </c>
      <c r="E227" s="6">
        <f t="shared" si="11"/>
        <v>4.3827925807632208E-2</v>
      </c>
    </row>
    <row r="228" spans="1:5" ht="15.75" thickBot="1" x14ac:dyDescent="0.3">
      <c r="A228" s="12">
        <v>4.5199999999999996</v>
      </c>
      <c r="B228" s="11">
        <v>25.6066833</v>
      </c>
      <c r="C228" s="8">
        <v>24.535599029585853</v>
      </c>
      <c r="D228" s="5">
        <f t="shared" si="10"/>
        <v>1.071084270414147</v>
      </c>
      <c r="E228" s="6">
        <f t="shared" si="11"/>
        <v>4.3654294689222689E-2</v>
      </c>
    </row>
    <row r="229" spans="1:5" ht="15.75" thickBot="1" x14ac:dyDescent="0.3">
      <c r="A229" s="12">
        <v>4.54</v>
      </c>
      <c r="B229" s="11">
        <v>25.6066833</v>
      </c>
      <c r="C229" s="8">
        <v>24.539665774051741</v>
      </c>
      <c r="D229" s="5">
        <f t="shared" si="10"/>
        <v>1.067017525948259</v>
      </c>
      <c r="E229" s="6">
        <f t="shared" si="11"/>
        <v>4.3481338978810548E-2</v>
      </c>
    </row>
    <row r="230" spans="1:5" ht="15.75" thickBot="1" x14ac:dyDescent="0.3">
      <c r="A230" s="12">
        <v>4.5600000000000005</v>
      </c>
      <c r="B230" s="11">
        <v>25.6066833</v>
      </c>
      <c r="C230" s="8">
        <v>24.543718108682867</v>
      </c>
      <c r="D230" s="5">
        <f t="shared" si="10"/>
        <v>1.062965191317133</v>
      </c>
      <c r="E230" s="6">
        <f t="shared" si="11"/>
        <v>4.3309053119424727E-2</v>
      </c>
    </row>
    <row r="231" spans="1:5" ht="15.75" thickBot="1" x14ac:dyDescent="0.3">
      <c r="A231" s="12">
        <v>4.58</v>
      </c>
      <c r="B231" s="11">
        <v>25.6066833</v>
      </c>
      <c r="C231" s="8">
        <v>24.547756147660664</v>
      </c>
      <c r="D231" s="5">
        <f t="shared" si="10"/>
        <v>1.0589271523393364</v>
      </c>
      <c r="E231" s="6">
        <f t="shared" si="11"/>
        <v>4.3137431623877745E-2</v>
      </c>
    </row>
    <row r="232" spans="1:5" ht="15.75" thickBot="1" x14ac:dyDescent="0.3">
      <c r="A232" s="12">
        <v>4.5999999999999996</v>
      </c>
      <c r="B232" s="11">
        <v>25.6066833</v>
      </c>
      <c r="C232" s="8">
        <v>24.551780003766453</v>
      </c>
      <c r="D232" s="5">
        <f t="shared" si="10"/>
        <v>1.0549032962335474</v>
      </c>
      <c r="E232" s="6">
        <f t="shared" si="11"/>
        <v>4.2966469073595324E-2</v>
      </c>
    </row>
    <row r="233" spans="1:5" ht="15.75" thickBot="1" x14ac:dyDescent="0.3">
      <c r="A233" s="12">
        <v>4.62</v>
      </c>
      <c r="B233" s="11">
        <v>25.6066833</v>
      </c>
      <c r="C233" s="8">
        <v>24.555789788404752</v>
      </c>
      <c r="D233" s="5">
        <f t="shared" si="10"/>
        <v>1.0508935115952482</v>
      </c>
      <c r="E233" s="6">
        <f t="shared" si="11"/>
        <v>4.2796160117459563E-2</v>
      </c>
    </row>
    <row r="234" spans="1:5" ht="15.75" thickBot="1" x14ac:dyDescent="0.3">
      <c r="A234" s="12">
        <v>4.6400000000000006</v>
      </c>
      <c r="B234" s="11">
        <v>25.6066833</v>
      </c>
      <c r="C234" s="8">
        <v>24.559785611625898</v>
      </c>
      <c r="D234" s="5">
        <f t="shared" si="10"/>
        <v>1.0468976883741021</v>
      </c>
      <c r="E234" s="6">
        <f t="shared" si="11"/>
        <v>4.2626499470684746E-2</v>
      </c>
    </row>
    <row r="235" spans="1:5" ht="15.75" thickBot="1" x14ac:dyDescent="0.3">
      <c r="A235" s="12">
        <v>4.66</v>
      </c>
      <c r="B235" s="11">
        <v>25.6066833</v>
      </c>
      <c r="C235" s="8">
        <v>24.56376758214833</v>
      </c>
      <c r="D235" s="5">
        <f t="shared" si="10"/>
        <v>1.0429157178516704</v>
      </c>
      <c r="E235" s="6">
        <f t="shared" si="11"/>
        <v>4.2457481913711285E-2</v>
      </c>
    </row>
    <row r="236" spans="1:5" ht="15.75" thickBot="1" x14ac:dyDescent="0.3">
      <c r="A236" s="12">
        <v>4.68</v>
      </c>
      <c r="B236" s="11">
        <v>25.6066833</v>
      </c>
      <c r="C236" s="8">
        <v>24.567735807380302</v>
      </c>
      <c r="D236" s="5">
        <f t="shared" si="10"/>
        <v>1.0389474926196982</v>
      </c>
      <c r="E236" s="6">
        <f t="shared" si="11"/>
        <v>4.2289102291127367E-2</v>
      </c>
    </row>
    <row r="237" spans="1:5" ht="15.75" thickBot="1" x14ac:dyDescent="0.3">
      <c r="A237" s="12">
        <v>4.6999999999999993</v>
      </c>
      <c r="B237" s="11">
        <v>25.6066833</v>
      </c>
      <c r="C237" s="8">
        <v>24.571690393441315</v>
      </c>
      <c r="D237" s="5">
        <f t="shared" si="10"/>
        <v>1.0349929065586849</v>
      </c>
      <c r="E237" s="6">
        <f t="shared" si="11"/>
        <v>4.2121355510606043E-2</v>
      </c>
    </row>
    <row r="238" spans="1:5" ht="15.75" thickBot="1" x14ac:dyDescent="0.3">
      <c r="A238" s="12">
        <v>4.72</v>
      </c>
      <c r="B238" s="11">
        <v>25.6066833</v>
      </c>
      <c r="C238" s="8">
        <v>24.575631445182808</v>
      </c>
      <c r="D238" s="5">
        <f t="shared" si="10"/>
        <v>1.0310518548171927</v>
      </c>
      <c r="E238" s="6">
        <f t="shared" si="11"/>
        <v>4.1954236541877112E-2</v>
      </c>
    </row>
    <row r="239" spans="1:5" ht="15.75" thickBot="1" x14ac:dyDescent="0.3">
      <c r="A239" s="12">
        <v>4.74</v>
      </c>
      <c r="B239" s="11">
        <v>25.6066833</v>
      </c>
      <c r="C239" s="8">
        <v>24.579559066208787</v>
      </c>
      <c r="D239" s="5">
        <f t="shared" si="10"/>
        <v>1.0271242337912128</v>
      </c>
      <c r="E239" s="6">
        <f t="shared" si="11"/>
        <v>4.1787740415704655E-2</v>
      </c>
    </row>
    <row r="240" spans="1:5" ht="15.75" thickBot="1" x14ac:dyDescent="0.3">
      <c r="A240" s="12">
        <v>4.76</v>
      </c>
      <c r="B240" s="11">
        <v>25.6066833</v>
      </c>
      <c r="C240" s="8">
        <v>24.583473358895958</v>
      </c>
      <c r="D240" s="5">
        <f t="shared" si="10"/>
        <v>1.0232099411040423</v>
      </c>
      <c r="E240" s="6">
        <f t="shared" si="11"/>
        <v>4.1621862222889508E-2</v>
      </c>
    </row>
    <row r="241" spans="1:5" ht="15.75" thickBot="1" x14ac:dyDescent="0.3">
      <c r="A241" s="12">
        <v>4.7799999999999994</v>
      </c>
      <c r="B241" s="11">
        <v>25.6066833</v>
      </c>
      <c r="C241" s="8">
        <v>24.587374424412985</v>
      </c>
      <c r="D241" s="5">
        <f t="shared" si="10"/>
        <v>1.019308875587015</v>
      </c>
      <c r="E241" s="6">
        <f t="shared" si="11"/>
        <v>4.1456597113310956E-2</v>
      </c>
    </row>
    <row r="242" spans="1:5" ht="15.75" thickBot="1" x14ac:dyDescent="0.3">
      <c r="A242" s="12">
        <v>4.8</v>
      </c>
      <c r="B242" s="11">
        <v>25.6066833</v>
      </c>
      <c r="C242" s="8">
        <v>24.591262362740224</v>
      </c>
      <c r="D242" s="5">
        <f t="shared" si="10"/>
        <v>1.0154209372597762</v>
      </c>
      <c r="E242" s="6">
        <f t="shared" si="11"/>
        <v>4.129194029495227E-2</v>
      </c>
    </row>
    <row r="243" spans="1:5" ht="15.75" thickBot="1" x14ac:dyDescent="0.3">
      <c r="A243" s="12">
        <v>4.82</v>
      </c>
      <c r="B243" s="11">
        <v>25.6066833</v>
      </c>
      <c r="C243" s="8">
        <v>24.595137272688191</v>
      </c>
      <c r="D243" s="5">
        <f t="shared" si="10"/>
        <v>1.0115460273118089</v>
      </c>
      <c r="E243" s="6">
        <f t="shared" si="11"/>
        <v>4.1127887032982161E-2</v>
      </c>
    </row>
    <row r="244" spans="1:5" ht="15.75" thickBot="1" x14ac:dyDescent="0.3">
      <c r="A244" s="12">
        <v>4.84</v>
      </c>
      <c r="B244" s="11">
        <v>25.6066833</v>
      </c>
      <c r="C244" s="8">
        <v>24.598999251916325</v>
      </c>
      <c r="D244" s="5">
        <f t="shared" si="10"/>
        <v>1.0076840480836751</v>
      </c>
      <c r="E244" s="6">
        <f t="shared" si="11"/>
        <v>4.0964432648827119E-2</v>
      </c>
    </row>
    <row r="245" spans="1:5" ht="15.75" thickBot="1" x14ac:dyDescent="0.3">
      <c r="A245" s="12">
        <v>4.8599999999999994</v>
      </c>
      <c r="B245" s="11">
        <v>25.6066833</v>
      </c>
      <c r="C245" s="8">
        <v>24.602848396950947</v>
      </c>
      <c r="D245" s="5">
        <f t="shared" si="10"/>
        <v>1.0038349030490537</v>
      </c>
      <c r="E245" s="6">
        <f t="shared" si="11"/>
        <v>4.0801572519280321E-2</v>
      </c>
    </row>
    <row r="246" spans="1:5" ht="15.75" thickBot="1" x14ac:dyDescent="0.3">
      <c r="A246" s="12">
        <v>4.88</v>
      </c>
      <c r="B246" s="11">
        <v>25.6066833</v>
      </c>
      <c r="C246" s="8">
        <v>24.606684803202938</v>
      </c>
      <c r="D246" s="5">
        <f t="shared" si="10"/>
        <v>0.99999849679706188</v>
      </c>
      <c r="E246" s="6">
        <f t="shared" si="11"/>
        <v>4.0639302075625265E-2</v>
      </c>
    </row>
    <row r="247" spans="1:5" ht="15.75" thickBot="1" x14ac:dyDescent="0.3">
      <c r="A247" s="12">
        <v>4.9000000000000004</v>
      </c>
      <c r="B247" s="11">
        <v>25.6066833</v>
      </c>
      <c r="C247" s="8">
        <v>24.610508564985366</v>
      </c>
      <c r="D247" s="5">
        <f t="shared" si="10"/>
        <v>0.99617473501463394</v>
      </c>
      <c r="E247" s="6">
        <f t="shared" si="11"/>
        <v>4.0477616802764606E-2</v>
      </c>
    </row>
    <row r="248" spans="1:5" ht="15.75" thickBot="1" x14ac:dyDescent="0.3">
      <c r="A248" s="12">
        <v>4.92</v>
      </c>
      <c r="B248" s="11">
        <v>25.6066833</v>
      </c>
      <c r="C248" s="8">
        <v>24.614319775530589</v>
      </c>
      <c r="D248" s="5">
        <f t="shared" si="10"/>
        <v>0.99236352446941112</v>
      </c>
      <c r="E248" s="6">
        <f t="shared" si="11"/>
        <v>4.0316512238373223E-2</v>
      </c>
    </row>
    <row r="249" spans="1:5" ht="15.75" thickBot="1" x14ac:dyDescent="0.3">
      <c r="A249" s="12">
        <v>4.9399999999999995</v>
      </c>
      <c r="B249" s="11">
        <v>25.6066833</v>
      </c>
      <c r="C249" s="8">
        <v>24.618118527006573</v>
      </c>
      <c r="D249" s="5">
        <f t="shared" si="10"/>
        <v>0.98856477299342771</v>
      </c>
      <c r="E249" s="6">
        <f t="shared" si="11"/>
        <v>4.0155983972087556E-2</v>
      </c>
    </row>
    <row r="250" spans="1:5" ht="15.75" thickBot="1" x14ac:dyDescent="0.3">
      <c r="A250" s="12">
        <v>4.96</v>
      </c>
      <c r="B250" s="11">
        <v>25.6066833</v>
      </c>
      <c r="C250" s="8">
        <v>24.621904910533772</v>
      </c>
      <c r="D250" s="5">
        <f t="shared" si="10"/>
        <v>0.98477838946622853</v>
      </c>
      <c r="E250" s="6">
        <f t="shared" si="11"/>
        <v>3.9996027644673401E-2</v>
      </c>
    </row>
    <row r="251" spans="1:5" ht="15.75" thickBot="1" x14ac:dyDescent="0.3">
      <c r="A251" s="12">
        <v>4.9800000000000004</v>
      </c>
      <c r="B251" s="11">
        <v>25.6066833</v>
      </c>
      <c r="C251" s="8">
        <v>24.625679016200991</v>
      </c>
      <c r="D251" s="5">
        <f t="shared" si="10"/>
        <v>0.98100428379900961</v>
      </c>
      <c r="E251" s="6">
        <f t="shared" si="11"/>
        <v>3.9836638947239447E-2</v>
      </c>
    </row>
    <row r="252" spans="1:5" ht="15.75" thickBot="1" x14ac:dyDescent="0.3">
      <c r="A252" s="12">
        <v>5</v>
      </c>
      <c r="B252" s="11">
        <v>25.6066833</v>
      </c>
      <c r="C252" s="8">
        <v>24.629440933081128</v>
      </c>
      <c r="D252" s="5">
        <f t="shared" si="10"/>
        <v>0.97724236691887256</v>
      </c>
      <c r="E252" s="6">
        <f t="shared" si="11"/>
        <v>3.9677813620458018E-2</v>
      </c>
    </row>
    <row r="253" spans="1:5" ht="15.75" thickBot="1" x14ac:dyDescent="0.3">
      <c r="A253" s="12">
        <v>5.0199999999999996</v>
      </c>
      <c r="B253" s="11">
        <v>25.6066833</v>
      </c>
      <c r="C253" s="8">
        <v>24.633190749246808</v>
      </c>
      <c r="D253" s="5">
        <f t="shared" si="10"/>
        <v>0.97349255075319263</v>
      </c>
      <c r="E253" s="6">
        <f t="shared" si="11"/>
        <v>3.9519547453792943E-2</v>
      </c>
    </row>
    <row r="254" spans="1:5" ht="15.75" thickBot="1" x14ac:dyDescent="0.3">
      <c r="A254" s="12">
        <v>5.04</v>
      </c>
      <c r="B254" s="11">
        <v>25.6066833</v>
      </c>
      <c r="C254" s="8">
        <v>24.636928551785445</v>
      </c>
      <c r="D254" s="5">
        <f t="shared" si="10"/>
        <v>0.96975474821455521</v>
      </c>
      <c r="E254" s="6">
        <f t="shared" si="11"/>
        <v>3.9361836284753801E-2</v>
      </c>
    </row>
    <row r="255" spans="1:5" ht="15.75" thickBot="1" x14ac:dyDescent="0.3">
      <c r="A255" s="12">
        <v>5.0600000000000005</v>
      </c>
      <c r="B255" s="11">
        <v>25.6066833</v>
      </c>
      <c r="C255" s="8">
        <v>24.640654426814081</v>
      </c>
      <c r="D255" s="5">
        <f t="shared" si="10"/>
        <v>0.96602887318591968</v>
      </c>
      <c r="E255" s="6">
        <f t="shared" si="11"/>
        <v>3.9204675998161895E-2</v>
      </c>
    </row>
    <row r="256" spans="1:5" ht="15.75" thickBot="1" x14ac:dyDescent="0.3">
      <c r="A256" s="12">
        <v>5.08</v>
      </c>
      <c r="B256" s="11">
        <v>25.6066833</v>
      </c>
      <c r="C256" s="8">
        <v>24.644368459494274</v>
      </c>
      <c r="D256" s="5">
        <f t="shared" si="10"/>
        <v>0.96231484050572647</v>
      </c>
      <c r="E256" s="6">
        <f t="shared" si="11"/>
        <v>3.9048062525416163E-2</v>
      </c>
    </row>
    <row r="257" spans="1:5" ht="15.75" thickBot="1" x14ac:dyDescent="0.3">
      <c r="A257" s="12">
        <v>5.0999999999999996</v>
      </c>
      <c r="B257" s="11">
        <v>25.6066833</v>
      </c>
      <c r="C257" s="8">
        <v>24.648070734045916</v>
      </c>
      <c r="D257" s="5">
        <f t="shared" si="10"/>
        <v>0.95861256595408406</v>
      </c>
      <c r="E257" s="6">
        <f t="shared" si="11"/>
        <v>3.8891991843806685E-2</v>
      </c>
    </row>
    <row r="258" spans="1:5" ht="15.75" thickBot="1" x14ac:dyDescent="0.3">
      <c r="A258" s="12">
        <v>5.12</v>
      </c>
      <c r="B258" s="11">
        <v>25.6066833</v>
      </c>
      <c r="C258" s="8">
        <v>24.651761333761954</v>
      </c>
      <c r="D258" s="5">
        <f t="shared" si="10"/>
        <v>0.95492196623804659</v>
      </c>
      <c r="E258" s="6">
        <f t="shared" si="11"/>
        <v>3.8736459975791997E-2</v>
      </c>
    </row>
    <row r="259" spans="1:5" ht="15.75" thickBot="1" x14ac:dyDescent="0.3">
      <c r="A259" s="12">
        <v>5.1400000000000006</v>
      </c>
      <c r="B259" s="11">
        <v>25.6066833</v>
      </c>
      <c r="C259" s="8">
        <v>24.65544034102146</v>
      </c>
      <c r="D259" s="5">
        <f t="shared" ref="D259:D322" si="12">B259-C259</f>
        <v>0.95124295897853983</v>
      </c>
      <c r="E259" s="6">
        <f t="shared" ref="E259:E322" si="13">D259/C259</f>
        <v>3.8581462988347928E-2</v>
      </c>
    </row>
    <row r="260" spans="1:5" ht="15.75" thickBot="1" x14ac:dyDescent="0.3">
      <c r="A260" s="12">
        <v>5.16</v>
      </c>
      <c r="B260" s="11">
        <v>25.6066833</v>
      </c>
      <c r="C260" s="8">
        <v>24.659107837303907</v>
      </c>
      <c r="D260" s="5">
        <f t="shared" si="12"/>
        <v>0.9475754626960935</v>
      </c>
      <c r="E260" s="6">
        <f t="shared" si="13"/>
        <v>3.8426996992268161E-2</v>
      </c>
    </row>
    <row r="261" spans="1:5" ht="15.75" thickBot="1" x14ac:dyDescent="0.3">
      <c r="A261" s="12">
        <v>5.18</v>
      </c>
      <c r="B261" s="11">
        <v>25.6066833</v>
      </c>
      <c r="C261" s="8">
        <v>24.662763903201778</v>
      </c>
      <c r="D261" s="5">
        <f t="shared" si="12"/>
        <v>0.94391939679822201</v>
      </c>
      <c r="E261" s="6">
        <f t="shared" si="13"/>
        <v>3.8273058141536205E-2</v>
      </c>
    </row>
    <row r="262" spans="1:5" ht="15.75" thickBot="1" x14ac:dyDescent="0.3">
      <c r="A262" s="12">
        <v>5.1999999999999993</v>
      </c>
      <c r="B262" s="11">
        <v>25.6066833</v>
      </c>
      <c r="C262" s="8">
        <v>24.666408618434048</v>
      </c>
      <c r="D262" s="5">
        <f t="shared" si="12"/>
        <v>0.94027468156595262</v>
      </c>
      <c r="E262" s="6">
        <f t="shared" si="13"/>
        <v>3.8119642632663327E-2</v>
      </c>
    </row>
    <row r="263" spans="1:5" ht="15.75" thickBot="1" x14ac:dyDescent="0.3">
      <c r="A263" s="12">
        <v>5.22</v>
      </c>
      <c r="B263" s="11">
        <v>25.6066833</v>
      </c>
      <c r="C263" s="8">
        <v>24.670042061858908</v>
      </c>
      <c r="D263" s="5">
        <f t="shared" si="12"/>
        <v>0.93664123814109246</v>
      </c>
      <c r="E263" s="6">
        <f t="shared" si="13"/>
        <v>3.7966746704059563E-2</v>
      </c>
    </row>
    <row r="264" spans="1:5" ht="15.75" thickBot="1" x14ac:dyDescent="0.3">
      <c r="A264" s="12">
        <v>5.24</v>
      </c>
      <c r="B264" s="11">
        <v>25.6066833</v>
      </c>
      <c r="C264" s="8">
        <v>24.673664311486164</v>
      </c>
      <c r="D264" s="5">
        <f t="shared" si="12"/>
        <v>0.93301898851383669</v>
      </c>
      <c r="E264" s="6">
        <f t="shared" si="13"/>
        <v>3.7814366635420857E-2</v>
      </c>
    </row>
    <row r="265" spans="1:5" ht="15.75" thickBot="1" x14ac:dyDescent="0.3">
      <c r="A265" s="12">
        <v>5.26</v>
      </c>
      <c r="B265" s="11">
        <v>25.6066833</v>
      </c>
      <c r="C265" s="8">
        <v>24.67727544448968</v>
      </c>
      <c r="D265" s="5">
        <f t="shared" si="12"/>
        <v>0.92940785551031979</v>
      </c>
      <c r="E265" s="6">
        <f t="shared" si="13"/>
        <v>3.7662498747115629E-2</v>
      </c>
    </row>
    <row r="266" spans="1:5" ht="15.75" thickBot="1" x14ac:dyDescent="0.3">
      <c r="A266" s="12">
        <v>5.2799999999999994</v>
      </c>
      <c r="B266" s="11">
        <v>25.6066833</v>
      </c>
      <c r="C266" s="8">
        <v>24.680875537219492</v>
      </c>
      <c r="D266" s="5">
        <f t="shared" si="12"/>
        <v>0.92580776278050791</v>
      </c>
      <c r="E266" s="6">
        <f t="shared" si="13"/>
        <v>3.7511139399587438E-2</v>
      </c>
    </row>
    <row r="267" spans="1:5" ht="15.75" thickBot="1" x14ac:dyDescent="0.3">
      <c r="A267" s="12">
        <v>5.3</v>
      </c>
      <c r="B267" s="11">
        <v>25.6066833</v>
      </c>
      <c r="C267" s="8">
        <v>24.684464665213682</v>
      </c>
      <c r="D267" s="5">
        <f t="shared" si="12"/>
        <v>0.9222186347863186</v>
      </c>
      <c r="E267" s="6">
        <f t="shared" si="13"/>
        <v>3.7360284992768972E-2</v>
      </c>
    </row>
    <row r="268" spans="1:5" ht="15.75" thickBot="1" x14ac:dyDescent="0.3">
      <c r="A268" s="12">
        <v>5.32</v>
      </c>
      <c r="B268" s="11">
        <v>25.6066833</v>
      </c>
      <c r="C268" s="8">
        <v>24.688042903209976</v>
      </c>
      <c r="D268" s="5">
        <f t="shared" si="12"/>
        <v>0.91864039679002474</v>
      </c>
      <c r="E268" s="6">
        <f t="shared" si="13"/>
        <v>3.7209931965509577E-2</v>
      </c>
    </row>
    <row r="269" spans="1:5" ht="15.75" thickBot="1" x14ac:dyDescent="0.3">
      <c r="A269" s="12">
        <v>5.34</v>
      </c>
      <c r="B269" s="11">
        <v>25.6066833</v>
      </c>
      <c r="C269" s="8">
        <v>24.691610325157285</v>
      </c>
      <c r="D269" s="5">
        <f t="shared" si="12"/>
        <v>0.91507297484271533</v>
      </c>
      <c r="E269" s="6">
        <f t="shared" si="13"/>
        <v>3.706007679500694E-2</v>
      </c>
    </row>
    <row r="270" spans="1:5" ht="15.75" thickBot="1" x14ac:dyDescent="0.3">
      <c r="A270" s="12">
        <v>5.3599999999999994</v>
      </c>
      <c r="B270" s="11">
        <v>25.6066833</v>
      </c>
      <c r="C270" s="8">
        <v>24.695167004227017</v>
      </c>
      <c r="D270" s="5">
        <f t="shared" si="12"/>
        <v>0.91151629577298365</v>
      </c>
      <c r="E270" s="6">
        <f t="shared" si="13"/>
        <v>3.691071599624985E-2</v>
      </c>
    </row>
    <row r="271" spans="1:5" ht="15.75" thickBot="1" x14ac:dyDescent="0.3">
      <c r="A271" s="12">
        <v>5.38</v>
      </c>
      <c r="B271" s="11">
        <v>25.6066833</v>
      </c>
      <c r="C271" s="8">
        <v>24.69871301282393</v>
      </c>
      <c r="D271" s="5">
        <f t="shared" si="12"/>
        <v>0.9079702871760702</v>
      </c>
      <c r="E271" s="6">
        <f t="shared" si="13"/>
        <v>3.6761846121481666E-2</v>
      </c>
    </row>
    <row r="272" spans="1:5" ht="15.75" thickBot="1" x14ac:dyDescent="0.3">
      <c r="A272" s="12">
        <v>5.4</v>
      </c>
      <c r="B272" s="11">
        <v>25.6066833</v>
      </c>
      <c r="C272" s="8">
        <v>24.702248422597108</v>
      </c>
      <c r="D272" s="5">
        <f t="shared" si="12"/>
        <v>0.90443487740289186</v>
      </c>
      <c r="E272" s="6">
        <f t="shared" si="13"/>
        <v>3.6613463759660576E-2</v>
      </c>
    </row>
    <row r="273" spans="1:5" ht="15.75" thickBot="1" x14ac:dyDescent="0.3">
      <c r="A273" s="12">
        <v>5.42</v>
      </c>
      <c r="B273" s="11">
        <v>25.6066833</v>
      </c>
      <c r="C273" s="8">
        <v>24.705773304450702</v>
      </c>
      <c r="D273" s="5">
        <f t="shared" si="12"/>
        <v>0.90090999554929851</v>
      </c>
      <c r="E273" s="6">
        <f t="shared" si="13"/>
        <v>3.6465565535930874E-2</v>
      </c>
    </row>
    <row r="274" spans="1:5" ht="15.75" thickBot="1" x14ac:dyDescent="0.3">
      <c r="A274" s="12">
        <v>5.4399999999999995</v>
      </c>
      <c r="B274" s="11">
        <v>25.6066833</v>
      </c>
      <c r="C274" s="8">
        <v>24.709287728554216</v>
      </c>
      <c r="D274" s="5">
        <f t="shared" si="12"/>
        <v>0.89739557144578441</v>
      </c>
      <c r="E274" s="6">
        <f t="shared" si="13"/>
        <v>3.6318148111114841E-2</v>
      </c>
    </row>
    <row r="275" spans="1:5" ht="15.75" thickBot="1" x14ac:dyDescent="0.3">
      <c r="A275" s="12">
        <v>5.46</v>
      </c>
      <c r="B275" s="11">
        <v>25.6066833</v>
      </c>
      <c r="C275" s="8">
        <v>24.712791764352914</v>
      </c>
      <c r="D275" s="5">
        <f t="shared" si="12"/>
        <v>0.89389153564708579</v>
      </c>
      <c r="E275" s="6">
        <f t="shared" si="13"/>
        <v>3.617120818120128E-2</v>
      </c>
    </row>
    <row r="276" spans="1:5" ht="15.75" thickBot="1" x14ac:dyDescent="0.3">
      <c r="A276" s="12">
        <v>5.48</v>
      </c>
      <c r="B276" s="11">
        <v>25.6066833</v>
      </c>
      <c r="C276" s="8">
        <v>24.716285480577881</v>
      </c>
      <c r="D276" s="5">
        <f t="shared" si="12"/>
        <v>0.8903978194221196</v>
      </c>
      <c r="E276" s="6">
        <f t="shared" si="13"/>
        <v>3.6024742476849787E-2</v>
      </c>
    </row>
    <row r="277" spans="1:5" ht="15.75" thickBot="1" x14ac:dyDescent="0.3">
      <c r="A277" s="12">
        <v>5.5</v>
      </c>
      <c r="B277" s="11">
        <v>25.6066833</v>
      </c>
      <c r="C277" s="8">
        <v>24.719768945255964</v>
      </c>
      <c r="D277" s="5">
        <f t="shared" si="12"/>
        <v>0.8869143547440359</v>
      </c>
      <c r="E277" s="6">
        <f t="shared" si="13"/>
        <v>3.5878747762901154E-2</v>
      </c>
    </row>
    <row r="278" spans="1:5" ht="15.75" thickBot="1" x14ac:dyDescent="0.3">
      <c r="A278" s="12">
        <v>5.52</v>
      </c>
      <c r="B278" s="11">
        <v>25.6066833</v>
      </c>
      <c r="C278" s="8">
        <v>24.723242225719503</v>
      </c>
      <c r="D278" s="5">
        <f t="shared" si="12"/>
        <v>0.88344107428049767</v>
      </c>
      <c r="E278" s="6">
        <f t="shared" si="13"/>
        <v>3.5733220837898719E-2</v>
      </c>
    </row>
    <row r="279" spans="1:5" ht="15.75" thickBot="1" x14ac:dyDescent="0.3">
      <c r="A279" s="12">
        <v>5.54</v>
      </c>
      <c r="B279" s="11">
        <v>25.6066833</v>
      </c>
      <c r="C279" s="8">
        <v>24.726705388615983</v>
      </c>
      <c r="D279" s="5">
        <f t="shared" si="12"/>
        <v>0.87997791138401737</v>
      </c>
      <c r="E279" s="6">
        <f t="shared" si="13"/>
        <v>3.5588158533613364E-2</v>
      </c>
    </row>
    <row r="280" spans="1:5" ht="15.75" thickBot="1" x14ac:dyDescent="0.3">
      <c r="A280" s="12">
        <v>5.5600000000000005</v>
      </c>
      <c r="B280" s="11">
        <v>25.6066833</v>
      </c>
      <c r="C280" s="8">
        <v>24.730158499917309</v>
      </c>
      <c r="D280" s="5">
        <f t="shared" si="12"/>
        <v>0.87652480008269151</v>
      </c>
      <c r="E280" s="6">
        <f t="shared" si="13"/>
        <v>3.5443557714586522E-2</v>
      </c>
    </row>
    <row r="281" spans="1:5" ht="15.75" thickBot="1" x14ac:dyDescent="0.3">
      <c r="A281" s="12">
        <v>5.58</v>
      </c>
      <c r="B281" s="11">
        <v>25.6066833</v>
      </c>
      <c r="C281" s="8">
        <v>24.733601624929292</v>
      </c>
      <c r="D281" s="5">
        <f t="shared" si="12"/>
        <v>0.87308167507070777</v>
      </c>
      <c r="E281" s="6">
        <f t="shared" si="13"/>
        <v>3.5299415277664954E-2</v>
      </c>
    </row>
    <row r="282" spans="1:5" ht="15.75" thickBot="1" x14ac:dyDescent="0.3">
      <c r="A282" s="12">
        <v>5.6</v>
      </c>
      <c r="B282" s="11">
        <v>25.6066833</v>
      </c>
      <c r="C282" s="8">
        <v>24.737034828300466</v>
      </c>
      <c r="D282" s="5">
        <f t="shared" si="12"/>
        <v>0.8696484716995343</v>
      </c>
      <c r="E282" s="6">
        <f t="shared" si="13"/>
        <v>3.5155728151565313E-2</v>
      </c>
    </row>
    <row r="283" spans="1:5" ht="15.75" thickBot="1" x14ac:dyDescent="0.3">
      <c r="A283" s="12">
        <v>5.62</v>
      </c>
      <c r="B283" s="11">
        <v>25.6066833</v>
      </c>
      <c r="C283" s="8">
        <v>24.740458174031176</v>
      </c>
      <c r="D283" s="5">
        <f t="shared" si="12"/>
        <v>0.86622512596882473</v>
      </c>
      <c r="E283" s="6">
        <f t="shared" si="13"/>
        <v>3.5012493296428034E-2</v>
      </c>
    </row>
    <row r="284" spans="1:5" ht="15.75" thickBot="1" x14ac:dyDescent="0.3">
      <c r="A284" s="12">
        <v>5.6400000000000006</v>
      </c>
      <c r="B284" s="11">
        <v>25.6066833</v>
      </c>
      <c r="C284" s="8">
        <v>24.74387172548245</v>
      </c>
      <c r="D284" s="5">
        <f t="shared" si="12"/>
        <v>0.86281157451755064</v>
      </c>
      <c r="E284" s="6">
        <f t="shared" si="13"/>
        <v>3.4869707703381971E-2</v>
      </c>
    </row>
    <row r="285" spans="1:5" ht="15.75" thickBot="1" x14ac:dyDescent="0.3">
      <c r="A285" s="12">
        <v>5.66</v>
      </c>
      <c r="B285" s="11">
        <v>25.6066833</v>
      </c>
      <c r="C285" s="8">
        <v>24.747275545384355</v>
      </c>
      <c r="D285" s="5">
        <f t="shared" si="12"/>
        <v>0.85940775461564556</v>
      </c>
      <c r="E285" s="6">
        <f t="shared" si="13"/>
        <v>3.4727368394131562E-2</v>
      </c>
    </row>
    <row r="286" spans="1:5" ht="15.75" thickBot="1" x14ac:dyDescent="0.3">
      <c r="A286" s="12">
        <v>5.68</v>
      </c>
      <c r="B286" s="11">
        <v>25.6066833</v>
      </c>
      <c r="C286" s="8">
        <v>24.750669695844863</v>
      </c>
      <c r="D286" s="5">
        <f t="shared" si="12"/>
        <v>0.85601360415513739</v>
      </c>
      <c r="E286" s="6">
        <f t="shared" si="13"/>
        <v>3.458547242052383E-2</v>
      </c>
    </row>
    <row r="287" spans="1:5" ht="15.75" thickBot="1" x14ac:dyDescent="0.3">
      <c r="A287" s="12">
        <v>5.6999999999999993</v>
      </c>
      <c r="B287" s="11">
        <v>25.6066833</v>
      </c>
      <c r="C287" s="8">
        <v>24.75405423835781</v>
      </c>
      <c r="D287" s="5">
        <f t="shared" si="12"/>
        <v>0.85262906164219032</v>
      </c>
      <c r="E287" s="6">
        <f t="shared" si="13"/>
        <v>3.444401686415445E-2</v>
      </c>
    </row>
    <row r="288" spans="1:5" ht="15.75" thickBot="1" x14ac:dyDescent="0.3">
      <c r="A288" s="12">
        <v>5.72</v>
      </c>
      <c r="B288" s="11">
        <v>25.6066833</v>
      </c>
      <c r="C288" s="8">
        <v>24.757429233811422</v>
      </c>
      <c r="D288" s="5">
        <f t="shared" si="12"/>
        <v>0.84925406618857835</v>
      </c>
      <c r="E288" s="6">
        <f t="shared" si="13"/>
        <v>3.430299883595124E-2</v>
      </c>
    </row>
    <row r="289" spans="1:5" ht="15.75" thickBot="1" x14ac:dyDescent="0.3">
      <c r="A289" s="12">
        <v>5.74</v>
      </c>
      <c r="B289" s="11">
        <v>25.6066833</v>
      </c>
      <c r="C289" s="8">
        <v>24.760794742496159</v>
      </c>
      <c r="D289" s="5">
        <f t="shared" si="12"/>
        <v>0.84588855750384084</v>
      </c>
      <c r="E289" s="6">
        <f t="shared" si="13"/>
        <v>3.4162415475787189E-2</v>
      </c>
    </row>
    <row r="290" spans="1:5" ht="15.75" thickBot="1" x14ac:dyDescent="0.3">
      <c r="A290" s="12">
        <v>5.76</v>
      </c>
      <c r="B290" s="11">
        <v>25.6066833</v>
      </c>
      <c r="C290" s="8">
        <v>24.764150824112789</v>
      </c>
      <c r="D290" s="5">
        <f t="shared" si="12"/>
        <v>0.84253247588721081</v>
      </c>
      <c r="E290" s="6">
        <f t="shared" si="13"/>
        <v>3.4022263952085088E-2</v>
      </c>
    </row>
    <row r="291" spans="1:5" ht="15.75" thickBot="1" x14ac:dyDescent="0.3">
      <c r="A291" s="12">
        <v>5.7799999999999994</v>
      </c>
      <c r="B291" s="11">
        <v>25.6066833</v>
      </c>
      <c r="C291" s="8">
        <v>24.767497537780002</v>
      </c>
      <c r="D291" s="5">
        <f t="shared" si="12"/>
        <v>0.83918576221999786</v>
      </c>
      <c r="E291" s="6">
        <f t="shared" si="13"/>
        <v>3.3882541461442171E-2</v>
      </c>
    </row>
    <row r="292" spans="1:5" ht="15.75" thickBot="1" x14ac:dyDescent="0.3">
      <c r="A292" s="12">
        <v>5.8</v>
      </c>
      <c r="B292" s="11">
        <v>25.6066833</v>
      </c>
      <c r="C292" s="8">
        <v>24.77083494204237</v>
      </c>
      <c r="D292" s="5">
        <f t="shared" si="12"/>
        <v>0.83584835795763013</v>
      </c>
      <c r="E292" s="6">
        <f t="shared" si="13"/>
        <v>3.3743245228241542E-2</v>
      </c>
    </row>
    <row r="293" spans="1:5" ht="15.75" thickBot="1" x14ac:dyDescent="0.3">
      <c r="A293" s="12">
        <v>5.82</v>
      </c>
      <c r="B293" s="11">
        <v>25.6066833</v>
      </c>
      <c r="C293" s="8">
        <v>24.774163094877622</v>
      </c>
      <c r="D293" s="5">
        <f t="shared" si="12"/>
        <v>0.83252020512237834</v>
      </c>
      <c r="E293" s="6">
        <f t="shared" si="13"/>
        <v>3.3604372504293101E-2</v>
      </c>
    </row>
    <row r="294" spans="1:5" ht="15.75" thickBot="1" x14ac:dyDescent="0.3">
      <c r="A294" s="12">
        <v>5.84</v>
      </c>
      <c r="B294" s="11">
        <v>25.6066833</v>
      </c>
      <c r="C294" s="8">
        <v>24.777482053704148</v>
      </c>
      <c r="D294" s="5">
        <f t="shared" si="12"/>
        <v>0.82920124629585246</v>
      </c>
      <c r="E294" s="6">
        <f t="shared" si="13"/>
        <v>3.3465920568465903E-2</v>
      </c>
    </row>
    <row r="295" spans="1:5" ht="15.75" thickBot="1" x14ac:dyDescent="0.3">
      <c r="A295" s="12">
        <v>5.8599999999999994</v>
      </c>
      <c r="B295" s="11">
        <v>25.6066833</v>
      </c>
      <c r="C295" s="8">
        <v>24.780791875388331</v>
      </c>
      <c r="D295" s="5">
        <f t="shared" si="12"/>
        <v>0.82589142461166887</v>
      </c>
      <c r="E295" s="6">
        <f t="shared" si="13"/>
        <v>3.33278867263287E-2</v>
      </c>
    </row>
    <row r="296" spans="1:5" ht="15.75" thickBot="1" x14ac:dyDescent="0.3">
      <c r="A296" s="12">
        <v>5.88</v>
      </c>
      <c r="B296" s="11">
        <v>25.6066833</v>
      </c>
      <c r="C296" s="8">
        <v>24.784092616251769</v>
      </c>
      <c r="D296" s="5">
        <f t="shared" si="12"/>
        <v>0.8225906837482313</v>
      </c>
      <c r="E296" s="6">
        <f t="shared" si="13"/>
        <v>3.3190268309796045E-2</v>
      </c>
    </row>
    <row r="297" spans="1:5" ht="15.75" thickBot="1" x14ac:dyDescent="0.3">
      <c r="A297" s="12">
        <v>5.9</v>
      </c>
      <c r="B297" s="11">
        <v>25.6066833</v>
      </c>
      <c r="C297" s="8">
        <v>24.787384332078148</v>
      </c>
      <c r="D297" s="5">
        <f t="shared" si="12"/>
        <v>0.81929896792185275</v>
      </c>
      <c r="E297" s="6">
        <f t="shared" si="13"/>
        <v>3.3053062676789646E-2</v>
      </c>
    </row>
    <row r="298" spans="1:5" ht="15.75" thickBot="1" x14ac:dyDescent="0.3">
      <c r="A298" s="12">
        <v>5.92</v>
      </c>
      <c r="B298" s="11">
        <v>25.6066833</v>
      </c>
      <c r="C298" s="8">
        <v>24.79066707812035</v>
      </c>
      <c r="D298" s="5">
        <f t="shared" si="12"/>
        <v>0.81601622187965006</v>
      </c>
      <c r="E298" s="6">
        <f t="shared" si="13"/>
        <v>3.2916267210891088E-2</v>
      </c>
    </row>
    <row r="299" spans="1:5" ht="15.75" thickBot="1" x14ac:dyDescent="0.3">
      <c r="A299" s="12">
        <v>5.9399999999999995</v>
      </c>
      <c r="B299" s="11">
        <v>25.6066833</v>
      </c>
      <c r="C299" s="8">
        <v>24.793940909107164</v>
      </c>
      <c r="D299" s="5">
        <f t="shared" si="12"/>
        <v>0.8127423908928364</v>
      </c>
      <c r="E299" s="6">
        <f t="shared" si="13"/>
        <v>3.2779879321012041E-2</v>
      </c>
    </row>
    <row r="300" spans="1:5" ht="15.75" thickBot="1" x14ac:dyDescent="0.3">
      <c r="A300" s="12">
        <v>5.96</v>
      </c>
      <c r="B300" s="11">
        <v>25.6066833</v>
      </c>
      <c r="C300" s="8">
        <v>24.797205879250157</v>
      </c>
      <c r="D300" s="5">
        <f t="shared" si="12"/>
        <v>0.80947742074984319</v>
      </c>
      <c r="E300" s="6">
        <f t="shared" si="13"/>
        <v>3.2643896441058258E-2</v>
      </c>
    </row>
    <row r="301" spans="1:5" ht="15.75" thickBot="1" x14ac:dyDescent="0.3">
      <c r="A301" s="12">
        <v>5.98</v>
      </c>
      <c r="B301" s="11">
        <v>25.6066833</v>
      </c>
      <c r="C301" s="8">
        <v>24.800462042250217</v>
      </c>
      <c r="D301" s="5">
        <f t="shared" si="12"/>
        <v>0.80622125774978315</v>
      </c>
      <c r="E301" s="6">
        <f t="shared" si="13"/>
        <v>3.250831602960863E-2</v>
      </c>
    </row>
    <row r="302" spans="1:5" ht="15.75" thickBot="1" x14ac:dyDescent="0.3">
      <c r="A302" s="12">
        <v>6</v>
      </c>
      <c r="B302" s="11">
        <v>25.6066833</v>
      </c>
      <c r="C302" s="8">
        <v>24.803709451303916</v>
      </c>
      <c r="D302" s="5">
        <f t="shared" si="12"/>
        <v>0.80297384869608379</v>
      </c>
      <c r="E302" s="6">
        <f t="shared" si="13"/>
        <v>3.2373135569602147E-2</v>
      </c>
    </row>
    <row r="303" spans="1:5" ht="15.75" thickBot="1" x14ac:dyDescent="0.3">
      <c r="A303" s="12">
        <v>6.02</v>
      </c>
      <c r="B303" s="11">
        <v>25.6066833</v>
      </c>
      <c r="C303" s="8">
        <v>24.80694815911005</v>
      </c>
      <c r="D303" s="5">
        <f t="shared" si="12"/>
        <v>0.79973514088995046</v>
      </c>
      <c r="E303" s="6">
        <f t="shared" si="13"/>
        <v>3.223835256801863E-2</v>
      </c>
    </row>
    <row r="304" spans="1:5" ht="15.75" thickBot="1" x14ac:dyDescent="0.3">
      <c r="A304" s="12">
        <v>6.04</v>
      </c>
      <c r="B304" s="11">
        <v>25.6066833</v>
      </c>
      <c r="C304" s="8">
        <v>24.810178217876114</v>
      </c>
      <c r="D304" s="5">
        <f t="shared" si="12"/>
        <v>0.79650508212388615</v>
      </c>
      <c r="E304" s="6">
        <f t="shared" si="13"/>
        <v>3.2103964555562602E-2</v>
      </c>
    </row>
    <row r="305" spans="1:5" ht="15.75" thickBot="1" x14ac:dyDescent="0.3">
      <c r="A305" s="12">
        <v>6.0600000000000005</v>
      </c>
      <c r="B305" s="11">
        <v>25.6066833</v>
      </c>
      <c r="C305" s="8">
        <v>24.813399679323993</v>
      </c>
      <c r="D305" s="5">
        <f t="shared" si="12"/>
        <v>0.79328362067600722</v>
      </c>
      <c r="E305" s="6">
        <f t="shared" si="13"/>
        <v>3.1969969086381118E-2</v>
      </c>
    </row>
    <row r="306" spans="1:5" ht="15.75" thickBot="1" x14ac:dyDescent="0.3">
      <c r="A306" s="12">
        <v>6.08</v>
      </c>
      <c r="B306" s="11">
        <v>25.6066833</v>
      </c>
      <c r="C306" s="8">
        <v>24.816612594696664</v>
      </c>
      <c r="D306" s="5">
        <f t="shared" si="12"/>
        <v>0.79007070530333579</v>
      </c>
      <c r="E306" s="6">
        <f t="shared" si="13"/>
        <v>3.1836363737739723E-2</v>
      </c>
    </row>
    <row r="307" spans="1:5" ht="15.75" thickBot="1" x14ac:dyDescent="0.3">
      <c r="A307" s="12">
        <v>6.1</v>
      </c>
      <c r="B307" s="11">
        <v>25.6066833</v>
      </c>
      <c r="C307" s="8">
        <v>24.819817014763714</v>
      </c>
      <c r="D307" s="5">
        <f t="shared" si="12"/>
        <v>0.78686628523628599</v>
      </c>
      <c r="E307" s="6">
        <f t="shared" si="13"/>
        <v>3.1703146109748906E-2</v>
      </c>
    </row>
    <row r="308" spans="1:5" ht="15.75" thickBot="1" x14ac:dyDescent="0.3">
      <c r="A308" s="12">
        <v>6.12</v>
      </c>
      <c r="B308" s="11">
        <v>25.6066833</v>
      </c>
      <c r="C308" s="8">
        <v>24.823012989827532</v>
      </c>
      <c r="D308" s="5">
        <f t="shared" si="12"/>
        <v>0.78367031017246802</v>
      </c>
      <c r="E308" s="6">
        <f t="shared" si="13"/>
        <v>3.1570313825062896E-2</v>
      </c>
    </row>
    <row r="309" spans="1:5" ht="15.75" thickBot="1" x14ac:dyDescent="0.3">
      <c r="A309" s="12">
        <v>6.14</v>
      </c>
      <c r="B309" s="11">
        <v>25.6066833</v>
      </c>
      <c r="C309" s="8">
        <v>24.826200569728996</v>
      </c>
      <c r="D309" s="5">
        <f t="shared" si="12"/>
        <v>0.78048273027100379</v>
      </c>
      <c r="E309" s="6">
        <f t="shared" si="13"/>
        <v>3.1437864528600465E-2</v>
      </c>
    </row>
    <row r="310" spans="1:5" ht="15.75" thickBot="1" x14ac:dyDescent="0.3">
      <c r="A310" s="12">
        <v>6.16</v>
      </c>
      <c r="B310" s="11">
        <v>25.6066833</v>
      </c>
      <c r="C310" s="8">
        <v>24.829379803853271</v>
      </c>
      <c r="D310" s="5">
        <f t="shared" si="12"/>
        <v>0.77730349614672889</v>
      </c>
      <c r="E310" s="6">
        <f t="shared" si="13"/>
        <v>3.130579588726172E-2</v>
      </c>
    </row>
    <row r="311" spans="1:5" ht="15.75" thickBot="1" x14ac:dyDescent="0.3">
      <c r="A311" s="12">
        <v>6.18</v>
      </c>
      <c r="B311" s="11">
        <v>25.6066833</v>
      </c>
      <c r="C311" s="8">
        <v>24.832550741135321</v>
      </c>
      <c r="D311" s="5">
        <f t="shared" si="12"/>
        <v>0.7741325588646788</v>
      </c>
      <c r="E311" s="6">
        <f t="shared" si="13"/>
        <v>3.1174105589657448E-2</v>
      </c>
    </row>
    <row r="312" spans="1:5" ht="15.75" thickBot="1" x14ac:dyDescent="0.3">
      <c r="A312" s="12">
        <v>6.2</v>
      </c>
      <c r="B312" s="11">
        <v>25.6066833</v>
      </c>
      <c r="C312" s="8">
        <v>24.835713430065709</v>
      </c>
      <c r="D312" s="5">
        <f t="shared" si="12"/>
        <v>0.77096986993429084</v>
      </c>
      <c r="E312" s="6">
        <f t="shared" si="13"/>
        <v>3.1042791345827308E-2</v>
      </c>
    </row>
    <row r="313" spans="1:5" ht="15.75" thickBot="1" x14ac:dyDescent="0.3">
      <c r="A313" s="12">
        <v>6.22</v>
      </c>
      <c r="B313" s="11">
        <v>25.6066833</v>
      </c>
      <c r="C313" s="8">
        <v>24.838867918695655</v>
      </c>
      <c r="D313" s="5">
        <f t="shared" si="12"/>
        <v>0.76781538130434512</v>
      </c>
      <c r="E313" s="6">
        <f t="shared" si="13"/>
        <v>3.091185088698941E-2</v>
      </c>
    </row>
    <row r="314" spans="1:5" ht="15.75" thickBot="1" x14ac:dyDescent="0.3">
      <c r="A314" s="12">
        <v>6.24</v>
      </c>
      <c r="B314" s="11">
        <v>25.6066833</v>
      </c>
      <c r="C314" s="8">
        <v>24.842014254642891</v>
      </c>
      <c r="D314" s="5">
        <f t="shared" si="12"/>
        <v>0.76466904535710967</v>
      </c>
      <c r="E314" s="6">
        <f t="shared" si="13"/>
        <v>3.0781281965257531E-2</v>
      </c>
    </row>
    <row r="315" spans="1:5" ht="15.75" thickBot="1" x14ac:dyDescent="0.3">
      <c r="A315" s="12">
        <v>6.26</v>
      </c>
      <c r="B315" s="11">
        <v>25.6066833</v>
      </c>
      <c r="C315" s="8">
        <v>24.845152485096605</v>
      </c>
      <c r="D315" s="5">
        <f t="shared" si="12"/>
        <v>0.76153081490339503</v>
      </c>
      <c r="E315" s="6">
        <f t="shared" si="13"/>
        <v>3.0651082353396711E-2</v>
      </c>
    </row>
    <row r="316" spans="1:5" ht="15.75" thickBot="1" x14ac:dyDescent="0.3">
      <c r="A316" s="12">
        <v>6.28</v>
      </c>
      <c r="B316" s="11">
        <v>25.6066833</v>
      </c>
      <c r="C316" s="8">
        <v>24.848282656822676</v>
      </c>
      <c r="D316" s="5">
        <f t="shared" si="12"/>
        <v>0.7584006431773247</v>
      </c>
      <c r="E316" s="6">
        <f t="shared" si="13"/>
        <v>3.0521249844567753E-2</v>
      </c>
    </row>
    <row r="317" spans="1:5" ht="15.75" thickBot="1" x14ac:dyDescent="0.3">
      <c r="A317" s="12">
        <v>6.3</v>
      </c>
      <c r="B317" s="11">
        <v>25.6066833</v>
      </c>
      <c r="C317" s="8">
        <v>24.851404816169065</v>
      </c>
      <c r="D317" s="5">
        <f t="shared" si="12"/>
        <v>0.75527848383093499</v>
      </c>
      <c r="E317" s="6">
        <f t="shared" si="13"/>
        <v>3.0391782252065215E-2</v>
      </c>
    </row>
    <row r="318" spans="1:5" ht="15.75" thickBot="1" x14ac:dyDescent="0.3">
      <c r="A318" s="12">
        <v>6.32</v>
      </c>
      <c r="B318" s="11">
        <v>25.6066833</v>
      </c>
      <c r="C318" s="8">
        <v>24.854519009070543</v>
      </c>
      <c r="D318" s="5">
        <f t="shared" si="12"/>
        <v>0.75216429092945702</v>
      </c>
      <c r="E318" s="6">
        <f t="shared" si="13"/>
        <v>3.0262677409084365E-2</v>
      </c>
    </row>
    <row r="319" spans="1:5" ht="15.75" thickBot="1" x14ac:dyDescent="0.3">
      <c r="A319" s="12">
        <v>6.34</v>
      </c>
      <c r="B319" s="11">
        <v>25.6066833</v>
      </c>
      <c r="C319" s="8">
        <v>24.857625281053913</v>
      </c>
      <c r="D319" s="5">
        <f t="shared" si="12"/>
        <v>0.74905801894608715</v>
      </c>
      <c r="E319" s="6">
        <f t="shared" si="13"/>
        <v>3.0133933168467516E-2</v>
      </c>
    </row>
    <row r="320" spans="1:5" ht="15.75" thickBot="1" x14ac:dyDescent="0.3">
      <c r="A320" s="12">
        <v>6.3599999999999994</v>
      </c>
      <c r="B320" s="11">
        <v>25.6066833</v>
      </c>
      <c r="C320" s="8">
        <v>24.860723677242845</v>
      </c>
      <c r="D320" s="5">
        <f t="shared" si="12"/>
        <v>0.74595962275715522</v>
      </c>
      <c r="E320" s="6">
        <f t="shared" si="13"/>
        <v>3.0005547402467456E-2</v>
      </c>
    </row>
    <row r="321" spans="1:5" ht="15.75" thickBot="1" x14ac:dyDescent="0.3">
      <c r="A321" s="12">
        <v>6.38</v>
      </c>
      <c r="B321" s="11">
        <v>25.6066833</v>
      </c>
      <c r="C321" s="8">
        <v>24.863814242362594</v>
      </c>
      <c r="D321" s="5">
        <f t="shared" si="12"/>
        <v>0.74286905763740663</v>
      </c>
      <c r="E321" s="6">
        <f t="shared" si="13"/>
        <v>2.987751800251618E-2</v>
      </c>
    </row>
    <row r="322" spans="1:5" ht="15.75" thickBot="1" x14ac:dyDescent="0.3">
      <c r="A322" s="12">
        <v>6.4</v>
      </c>
      <c r="B322" s="11">
        <v>25.6066833</v>
      </c>
      <c r="C322" s="8">
        <v>24.86689702074483</v>
      </c>
      <c r="D322" s="5">
        <f t="shared" si="12"/>
        <v>0.7397862792551706</v>
      </c>
      <c r="E322" s="6">
        <f t="shared" si="13"/>
        <v>2.9749842878989491E-2</v>
      </c>
    </row>
    <row r="323" spans="1:5" ht="15.75" thickBot="1" x14ac:dyDescent="0.3">
      <c r="A323" s="12">
        <v>6.42</v>
      </c>
      <c r="B323" s="11">
        <v>25.6066833</v>
      </c>
      <c r="C323" s="8">
        <v>24.869972056332415</v>
      </c>
      <c r="D323" s="5">
        <f t="shared" ref="D323:D386" si="14">B323-C323</f>
        <v>0.73671124366758534</v>
      </c>
      <c r="E323" s="6">
        <f t="shared" ref="E323:E386" si="15">D323/C323</f>
        <v>2.9622519960974515E-2</v>
      </c>
    </row>
    <row r="324" spans="1:5" ht="15.75" thickBot="1" x14ac:dyDescent="0.3">
      <c r="A324" s="12">
        <v>6.4399999999999995</v>
      </c>
      <c r="B324" s="11">
        <v>25.607797600000001</v>
      </c>
      <c r="C324" s="8">
        <v>24.87303939268395</v>
      </c>
      <c r="D324" s="5">
        <f t="shared" si="14"/>
        <v>0.73475820731605168</v>
      </c>
      <c r="E324" s="6">
        <f t="shared" si="15"/>
        <v>2.954034670697182E-2</v>
      </c>
    </row>
    <row r="325" spans="1:5" ht="15.75" thickBot="1" x14ac:dyDescent="0.3">
      <c r="A325" s="12">
        <v>6.46</v>
      </c>
      <c r="B325" s="11">
        <v>25.610886600000001</v>
      </c>
      <c r="C325" s="8">
        <v>24.87609907297815</v>
      </c>
      <c r="D325" s="5">
        <f t="shared" si="14"/>
        <v>0.73478752702185091</v>
      </c>
      <c r="E325" s="6">
        <f t="shared" si="15"/>
        <v>2.9537891968762071E-2</v>
      </c>
    </row>
    <row r="326" spans="1:5" ht="15.75" thickBot="1" x14ac:dyDescent="0.3">
      <c r="A326" s="12">
        <v>6.48</v>
      </c>
      <c r="B326" s="11">
        <v>25.614047899999999</v>
      </c>
      <c r="C326" s="8">
        <v>24.879151140018678</v>
      </c>
      <c r="D326" s="5">
        <f t="shared" si="14"/>
        <v>0.73489675998132142</v>
      </c>
      <c r="E326" s="6">
        <f t="shared" si="15"/>
        <v>2.9538658929533303E-2</v>
      </c>
    </row>
    <row r="327" spans="1:5" ht="15.75" thickBot="1" x14ac:dyDescent="0.3">
      <c r="A327" s="12">
        <v>6.5</v>
      </c>
      <c r="B327" s="11">
        <v>25.6172769</v>
      </c>
      <c r="C327" s="8">
        <v>24.88219563623818</v>
      </c>
      <c r="D327" s="5">
        <f t="shared" si="14"/>
        <v>0.73508126376182048</v>
      </c>
      <c r="E327" s="6">
        <f t="shared" si="15"/>
        <v>2.9542459777595169E-2</v>
      </c>
    </row>
    <row r="328" spans="1:5" ht="15.75" thickBot="1" x14ac:dyDescent="0.3">
      <c r="A328" s="12">
        <v>6.52</v>
      </c>
      <c r="B328" s="11">
        <v>25.620569499999998</v>
      </c>
      <c r="C328" s="8">
        <v>24.885232603702946</v>
      </c>
      <c r="D328" s="5">
        <f t="shared" si="14"/>
        <v>0.73533689629705279</v>
      </c>
      <c r="E328" s="6">
        <f t="shared" si="15"/>
        <v>2.954912690619713E-2</v>
      </c>
    </row>
    <row r="329" spans="1:5" ht="15.75" thickBot="1" x14ac:dyDescent="0.3">
      <c r="A329" s="12">
        <v>6.54</v>
      </c>
      <c r="B329" s="11">
        <v>25.623921500000002</v>
      </c>
      <c r="C329" s="8">
        <v>24.888262084116832</v>
      </c>
      <c r="D329" s="5">
        <f t="shared" si="14"/>
        <v>0.73565941588316974</v>
      </c>
      <c r="E329" s="6">
        <f t="shared" si="15"/>
        <v>2.9558488792700885E-2</v>
      </c>
    </row>
    <row r="330" spans="1:5" ht="15.75" thickBot="1" x14ac:dyDescent="0.3">
      <c r="A330" s="12">
        <v>6.5600000000000005</v>
      </c>
      <c r="B330" s="11">
        <v>25.627328599999998</v>
      </c>
      <c r="C330" s="8">
        <v>24.891284118825979</v>
      </c>
      <c r="D330" s="5">
        <f t="shared" si="14"/>
        <v>0.73604448117401944</v>
      </c>
      <c r="E330" s="6">
        <f t="shared" si="15"/>
        <v>2.9570370000209362E-2</v>
      </c>
    </row>
    <row r="331" spans="1:5" ht="15.75" thickBot="1" x14ac:dyDescent="0.3">
      <c r="A331" s="12">
        <v>6.58</v>
      </c>
      <c r="B331" s="11">
        <v>25.6307869</v>
      </c>
      <c r="C331" s="8">
        <v>24.894298748822393</v>
      </c>
      <c r="D331" s="5">
        <f t="shared" si="14"/>
        <v>0.73648815117760691</v>
      </c>
      <c r="E331" s="6">
        <f t="shared" si="15"/>
        <v>2.9584611264153241E-2</v>
      </c>
    </row>
    <row r="332" spans="1:5" ht="15.75" thickBot="1" x14ac:dyDescent="0.3">
      <c r="A332" s="12">
        <v>6.6</v>
      </c>
      <c r="B332" s="11">
        <v>25.634292200000001</v>
      </c>
      <c r="C332" s="8">
        <v>24.897306014748608</v>
      </c>
      <c r="D332" s="5">
        <f t="shared" si="14"/>
        <v>0.73698618525139281</v>
      </c>
      <c r="E332" s="6">
        <f t="shared" si="15"/>
        <v>2.9601041366275477E-2</v>
      </c>
    </row>
    <row r="333" spans="1:5" ht="15.75" thickBot="1" x14ac:dyDescent="0.3">
      <c r="A333" s="12">
        <v>6.62</v>
      </c>
      <c r="B333" s="11">
        <v>25.637840499999999</v>
      </c>
      <c r="C333" s="8">
        <v>24.900305956901207</v>
      </c>
      <c r="D333" s="5">
        <f t="shared" si="14"/>
        <v>0.73753454309879274</v>
      </c>
      <c r="E333" s="6">
        <f t="shared" si="15"/>
        <v>2.9619497221253319E-2</v>
      </c>
    </row>
    <row r="334" spans="1:5" ht="15.75" thickBot="1" x14ac:dyDescent="0.3">
      <c r="A334" s="12">
        <v>6.64</v>
      </c>
      <c r="B334" s="11">
        <v>25.6414279</v>
      </c>
      <c r="C334" s="8">
        <v>24.903298615235201</v>
      </c>
      <c r="D334" s="5">
        <f t="shared" si="14"/>
        <v>0.73812928476479911</v>
      </c>
      <c r="E334" s="6">
        <f t="shared" si="15"/>
        <v>2.963981985556044E-2</v>
      </c>
    </row>
    <row r="335" spans="1:5" ht="15.75" thickBot="1" x14ac:dyDescent="0.3">
      <c r="A335" s="12">
        <v>6.66</v>
      </c>
      <c r="B335" s="11">
        <v>25.6450505</v>
      </c>
      <c r="C335" s="8">
        <v>24.906284029367669</v>
      </c>
      <c r="D335" s="5">
        <f t="shared" si="14"/>
        <v>0.73876647063233136</v>
      </c>
      <c r="E335" s="6">
        <f t="shared" si="15"/>
        <v>2.9661850389292598E-2</v>
      </c>
    </row>
    <row r="336" spans="1:5" ht="15.75" thickBot="1" x14ac:dyDescent="0.3">
      <c r="A336" s="12">
        <v>6.68</v>
      </c>
      <c r="B336" s="11">
        <v>25.648704899999998</v>
      </c>
      <c r="C336" s="8">
        <v>24.909262238581789</v>
      </c>
      <c r="D336" s="5">
        <f t="shared" si="14"/>
        <v>0.73944266141820947</v>
      </c>
      <c r="E336" s="6">
        <f t="shared" si="15"/>
        <v>2.9685450108309176E-2</v>
      </c>
    </row>
    <row r="337" spans="1:5" ht="15.75" thickBot="1" x14ac:dyDescent="0.3">
      <c r="A337" s="12">
        <v>6.7</v>
      </c>
      <c r="B337" s="11">
        <v>25.652387600000001</v>
      </c>
      <c r="C337" s="8">
        <v>24.912233281830595</v>
      </c>
      <c r="D337" s="5">
        <f t="shared" si="14"/>
        <v>0.74015431816940591</v>
      </c>
      <c r="E337" s="6">
        <f t="shared" si="15"/>
        <v>2.9710476367015543E-2</v>
      </c>
    </row>
    <row r="338" spans="1:5" ht="15.75" thickBot="1" x14ac:dyDescent="0.3">
      <c r="A338" s="12">
        <v>6.72</v>
      </c>
      <c r="B338" s="11">
        <v>25.656094599999999</v>
      </c>
      <c r="C338" s="8">
        <v>24.915197197740781</v>
      </c>
      <c r="D338" s="5">
        <f t="shared" si="14"/>
        <v>0.7408974022592183</v>
      </c>
      <c r="E338" s="6">
        <f t="shared" si="15"/>
        <v>2.9736766535662828E-2</v>
      </c>
    </row>
    <row r="339" spans="1:5" ht="15.75" thickBot="1" x14ac:dyDescent="0.3">
      <c r="A339" s="12">
        <v>6.74</v>
      </c>
      <c r="B339" s="11">
        <v>25.659822500000001</v>
      </c>
      <c r="C339" s="8">
        <v>24.918154024616172</v>
      </c>
      <c r="D339" s="5">
        <f t="shared" si="14"/>
        <v>0.74166847538382896</v>
      </c>
      <c r="E339" s="6">
        <f t="shared" si="15"/>
        <v>2.976418215615606E-2</v>
      </c>
    </row>
    <row r="340" spans="1:5" ht="15.75" thickBot="1" x14ac:dyDescent="0.3">
      <c r="A340" s="12">
        <v>6.76</v>
      </c>
      <c r="B340" s="11">
        <v>25.663568099999999</v>
      </c>
      <c r="C340" s="8">
        <v>24.921103800441699</v>
      </c>
      <c r="D340" s="5">
        <f t="shared" si="14"/>
        <v>0.74246429955829996</v>
      </c>
      <c r="E340" s="6">
        <f t="shared" si="15"/>
        <v>2.9792592876449583E-2</v>
      </c>
    </row>
    <row r="341" spans="1:5" ht="15.75" thickBot="1" x14ac:dyDescent="0.3">
      <c r="A341" s="12">
        <v>6.78</v>
      </c>
      <c r="B341" s="11">
        <v>25.667328300000001</v>
      </c>
      <c r="C341" s="8">
        <v>24.924046562886815</v>
      </c>
      <c r="D341" s="5">
        <f t="shared" si="14"/>
        <v>0.74328173711318613</v>
      </c>
      <c r="E341" s="6">
        <f t="shared" si="15"/>
        <v>2.9821872433025011E-2</v>
      </c>
    </row>
    <row r="342" spans="1:5" ht="15.75" thickBot="1" x14ac:dyDescent="0.3">
      <c r="A342" s="12">
        <v>6.8</v>
      </c>
      <c r="B342" s="11">
        <v>25.671099999999999</v>
      </c>
      <c r="C342" s="8">
        <v>24.926982349309071</v>
      </c>
      <c r="D342" s="5">
        <f t="shared" si="14"/>
        <v>0.74411765069092795</v>
      </c>
      <c r="E342" s="6">
        <f t="shared" si="15"/>
        <v>2.9851894636237566E-2</v>
      </c>
    </row>
    <row r="343" spans="1:5" ht="15.75" thickBot="1" x14ac:dyDescent="0.3">
      <c r="A343" s="12">
        <v>6.82</v>
      </c>
      <c r="B343" s="11">
        <v>25.6748802</v>
      </c>
      <c r="C343" s="8">
        <v>24.92991119675753</v>
      </c>
      <c r="D343" s="5">
        <f t="shared" si="14"/>
        <v>0.74496900324247051</v>
      </c>
      <c r="E343" s="6">
        <f t="shared" si="15"/>
        <v>2.9882537381014165E-2</v>
      </c>
    </row>
    <row r="344" spans="1:5" ht="15.75" thickBot="1" x14ac:dyDescent="0.3">
      <c r="A344" s="12">
        <v>6.84</v>
      </c>
      <c r="B344" s="11">
        <v>25.6786666</v>
      </c>
      <c r="C344" s="8">
        <v>24.932833141976289</v>
      </c>
      <c r="D344" s="5">
        <f t="shared" si="14"/>
        <v>0.7458334580237107</v>
      </c>
      <c r="E344" s="6">
        <f t="shared" si="15"/>
        <v>2.9913706708606824E-2</v>
      </c>
    </row>
    <row r="345" spans="1:5" ht="15.75" thickBot="1" x14ac:dyDescent="0.3">
      <c r="A345" s="12">
        <v>6.8599999999999994</v>
      </c>
      <c r="B345" s="11">
        <v>25.682456800000001</v>
      </c>
      <c r="C345" s="8">
        <v>24.935748221407948</v>
      </c>
      <c r="D345" s="5">
        <f t="shared" si="14"/>
        <v>0.74670857859205242</v>
      </c>
      <c r="E345" s="6">
        <f t="shared" si="15"/>
        <v>2.9945304707198837E-2</v>
      </c>
    </row>
    <row r="346" spans="1:5" ht="15.75" thickBot="1" x14ac:dyDescent="0.3">
      <c r="A346" s="12">
        <v>6.88</v>
      </c>
      <c r="B346" s="11">
        <v>25.686245599999999</v>
      </c>
      <c r="C346" s="8">
        <v>24.938656471196794</v>
      </c>
      <c r="D346" s="5">
        <f t="shared" si="14"/>
        <v>0.74758912880320594</v>
      </c>
      <c r="E346" s="6">
        <f t="shared" si="15"/>
        <v>2.9977121248157178E-2</v>
      </c>
    </row>
    <row r="347" spans="1:5" ht="15.75" thickBot="1" x14ac:dyDescent="0.3">
      <c r="A347" s="12">
        <v>6.9</v>
      </c>
      <c r="B347" s="11">
        <v>25.6900297</v>
      </c>
      <c r="C347" s="8">
        <v>24.941557927192264</v>
      </c>
      <c r="D347" s="5">
        <f t="shared" si="14"/>
        <v>0.74847177280773636</v>
      </c>
      <c r="E347" s="6">
        <f t="shared" si="15"/>
        <v>3.0009022491402717E-2</v>
      </c>
    </row>
    <row r="348" spans="1:5" ht="15.75" thickBot="1" x14ac:dyDescent="0.3">
      <c r="A348" s="12">
        <v>6.92</v>
      </c>
      <c r="B348" s="11">
        <v>25.693810500000001</v>
      </c>
      <c r="C348" s="8">
        <v>24.944452624952078</v>
      </c>
      <c r="D348" s="5">
        <f t="shared" si="14"/>
        <v>0.74935787504792373</v>
      </c>
      <c r="E348" s="6">
        <f t="shared" si="15"/>
        <v>3.0041063089848552E-2</v>
      </c>
    </row>
    <row r="349" spans="1:5" ht="15.75" thickBot="1" x14ac:dyDescent="0.3">
      <c r="A349" s="12">
        <v>6.9399999999999995</v>
      </c>
      <c r="B349" s="11">
        <v>25.697593900000001</v>
      </c>
      <c r="C349" s="8">
        <v>24.947340599745417</v>
      </c>
      <c r="D349" s="5">
        <f t="shared" si="14"/>
        <v>0.75025330025458459</v>
      </c>
      <c r="E349" s="6">
        <f t="shared" si="15"/>
        <v>3.007347806291789E-2</v>
      </c>
    </row>
    <row r="350" spans="1:5" ht="15.75" thickBot="1" x14ac:dyDescent="0.3">
      <c r="A350" s="12">
        <v>6.96</v>
      </c>
      <c r="B350" s="11">
        <v>25.701388000000001</v>
      </c>
      <c r="C350" s="8">
        <v>24.950221886556278</v>
      </c>
      <c r="D350" s="5">
        <f t="shared" si="14"/>
        <v>0.7511661134437233</v>
      </c>
      <c r="E350" s="6">
        <f t="shared" si="15"/>
        <v>3.0106590508859079E-2</v>
      </c>
    </row>
    <row r="351" spans="1:5" ht="15.75" thickBot="1" x14ac:dyDescent="0.3">
      <c r="A351" s="12">
        <v>6.98</v>
      </c>
      <c r="B351" s="11">
        <v>25.7052017</v>
      </c>
      <c r="C351" s="8">
        <v>24.95309652008649</v>
      </c>
      <c r="D351" s="5">
        <f t="shared" si="14"/>
        <v>0.75210517991351011</v>
      </c>
      <c r="E351" s="6">
        <f t="shared" si="15"/>
        <v>3.0140755449252085E-2</v>
      </c>
    </row>
    <row r="352" spans="1:5" ht="15.75" thickBot="1" x14ac:dyDescent="0.3">
      <c r="A352" s="12">
        <v>7</v>
      </c>
      <c r="B352" s="11">
        <v>25.709042799999999</v>
      </c>
      <c r="C352" s="8">
        <v>24.955964534758607</v>
      </c>
      <c r="D352" s="5">
        <f t="shared" si="14"/>
        <v>0.75307826524139188</v>
      </c>
      <c r="E352" s="6">
        <f t="shared" si="15"/>
        <v>3.0176283677295114E-2</v>
      </c>
    </row>
    <row r="353" spans="1:5" ht="15.75" thickBot="1" x14ac:dyDescent="0.3">
      <c r="A353" s="12">
        <v>7.02</v>
      </c>
      <c r="B353" s="11">
        <v>25.712916799999999</v>
      </c>
      <c r="C353" s="8">
        <v>24.958825964719381</v>
      </c>
      <c r="D353" s="5">
        <f t="shared" si="14"/>
        <v>0.75409083528061771</v>
      </c>
      <c r="E353" s="6">
        <f t="shared" si="15"/>
        <v>3.0213393704758586E-2</v>
      </c>
    </row>
    <row r="354" spans="1:5" ht="15.75" thickBot="1" x14ac:dyDescent="0.3">
      <c r="A354" s="12">
        <v>7.04</v>
      </c>
      <c r="B354" s="11">
        <v>25.7168274</v>
      </c>
      <c r="C354" s="8">
        <v>24.961680843842259</v>
      </c>
      <c r="D354" s="5">
        <f t="shared" si="14"/>
        <v>0.75514655615774018</v>
      </c>
      <c r="E354" s="6">
        <f t="shared" si="15"/>
        <v>3.0252231846158932E-2</v>
      </c>
    </row>
    <row r="355" spans="1:5" ht="15.75" thickBot="1" x14ac:dyDescent="0.3">
      <c r="A355" s="12">
        <v>7.06</v>
      </c>
      <c r="B355" s="11">
        <v>25.7207759</v>
      </c>
      <c r="C355" s="8">
        <v>24.964529205730742</v>
      </c>
      <c r="D355" s="5">
        <f t="shared" si="14"/>
        <v>0.75624669426925806</v>
      </c>
      <c r="E355" s="6">
        <f t="shared" si="15"/>
        <v>3.0292848226260865E-2</v>
      </c>
    </row>
    <row r="356" spans="1:5" ht="15.75" thickBot="1" x14ac:dyDescent="0.3">
      <c r="A356" s="12">
        <v>7.08</v>
      </c>
      <c r="B356" s="11">
        <v>25.724762500000001</v>
      </c>
      <c r="C356" s="8">
        <v>24.967371083721105</v>
      </c>
      <c r="D356" s="5">
        <f t="shared" si="14"/>
        <v>0.75739141627889595</v>
      </c>
      <c r="E356" s="6">
        <f t="shared" si="15"/>
        <v>3.033524890302609E-2</v>
      </c>
    </row>
    <row r="357" spans="1:5" ht="15.75" thickBot="1" x14ac:dyDescent="0.3">
      <c r="A357" s="12">
        <v>7.1</v>
      </c>
      <c r="B357" s="11">
        <v>25.728786199999998</v>
      </c>
      <c r="C357" s="8">
        <v>24.970206510885134</v>
      </c>
      <c r="D357" s="5">
        <f t="shared" si="14"/>
        <v>0.75857968911486395</v>
      </c>
      <c r="E357" s="6">
        <f t="shared" si="15"/>
        <v>3.0379391887855642E-2</v>
      </c>
    </row>
    <row r="358" spans="1:5" ht="15.75" thickBot="1" x14ac:dyDescent="0.3">
      <c r="A358" s="12">
        <v>7.12</v>
      </c>
      <c r="B358" s="11">
        <v>25.732845300000001</v>
      </c>
      <c r="C358" s="8">
        <v>24.973035520033363</v>
      </c>
      <c r="D358" s="5">
        <f t="shared" si="14"/>
        <v>0.75980977996663768</v>
      </c>
      <c r="E358" s="6">
        <f t="shared" si="15"/>
        <v>3.0425207194260322E-2</v>
      </c>
    </row>
    <row r="359" spans="1:5" ht="15.75" thickBot="1" x14ac:dyDescent="0.3">
      <c r="A359" s="12">
        <v>7.14</v>
      </c>
      <c r="B359" s="11">
        <v>25.736937300000001</v>
      </c>
      <c r="C359" s="8">
        <v>24.97585814371746</v>
      </c>
      <c r="D359" s="5">
        <f t="shared" si="14"/>
        <v>0.76107915628254119</v>
      </c>
      <c r="E359" s="6">
        <f t="shared" si="15"/>
        <v>3.047259284958689E-2</v>
      </c>
    </row>
    <row r="360" spans="1:5" ht="15.75" thickBot="1" x14ac:dyDescent="0.3">
      <c r="A360" s="12">
        <v>7.16</v>
      </c>
      <c r="B360" s="11">
        <v>25.741059700000001</v>
      </c>
      <c r="C360" s="8">
        <v>24.97867441423324</v>
      </c>
      <c r="D360" s="5">
        <f t="shared" si="14"/>
        <v>0.76238528576676146</v>
      </c>
      <c r="E360" s="6">
        <f t="shared" si="15"/>
        <v>3.0521446940048283E-2</v>
      </c>
    </row>
    <row r="361" spans="1:5" ht="15.75" thickBot="1" x14ac:dyDescent="0.3">
      <c r="A361" s="12">
        <v>7.18</v>
      </c>
      <c r="B361" s="11">
        <v>25.7452097</v>
      </c>
      <c r="C361" s="8">
        <v>24.981484363623281</v>
      </c>
      <c r="D361" s="5">
        <f t="shared" si="14"/>
        <v>0.76372533637671935</v>
      </c>
      <c r="E361" s="6">
        <f t="shared" si="15"/>
        <v>3.0571655601410775E-2</v>
      </c>
    </row>
    <row r="362" spans="1:5" ht="15.75" thickBot="1" x14ac:dyDescent="0.3">
      <c r="A362" s="12">
        <v>7.2</v>
      </c>
      <c r="B362" s="11">
        <v>25.749384200000001</v>
      </c>
      <c r="C362" s="8">
        <v>24.984288023679653</v>
      </c>
      <c r="D362" s="5">
        <f t="shared" si="14"/>
        <v>0.76509617632034832</v>
      </c>
      <c r="E362" s="6">
        <f t="shared" si="15"/>
        <v>3.0623093025312711E-2</v>
      </c>
    </row>
    <row r="363" spans="1:5" ht="15.75" thickBot="1" x14ac:dyDescent="0.3">
      <c r="A363" s="12">
        <v>7.22</v>
      </c>
      <c r="B363" s="11">
        <v>25.753579999999999</v>
      </c>
      <c r="C363" s="8">
        <v>24.987085425946532</v>
      </c>
      <c r="D363" s="5">
        <f t="shared" si="14"/>
        <v>0.76649457405346766</v>
      </c>
      <c r="E363" s="6">
        <f t="shared" si="15"/>
        <v>3.0675629469675621E-2</v>
      </c>
    </row>
    <row r="364" spans="1:5" ht="15.75" thickBot="1" x14ac:dyDescent="0.3">
      <c r="A364" s="12">
        <v>7.24</v>
      </c>
      <c r="B364" s="11">
        <v>25.757795300000002</v>
      </c>
      <c r="C364" s="8">
        <v>24.989876601722813</v>
      </c>
      <c r="D364" s="5">
        <f t="shared" si="14"/>
        <v>0.76791869827718884</v>
      </c>
      <c r="E364" s="6">
        <f t="shared" si="15"/>
        <v>3.0729191284772018E-2</v>
      </c>
    </row>
    <row r="365" spans="1:5" ht="15.75" thickBot="1" x14ac:dyDescent="0.3">
      <c r="A365" s="12">
        <v>7.26</v>
      </c>
      <c r="B365" s="11">
        <v>25.762026299999999</v>
      </c>
      <c r="C365" s="8">
        <v>24.992661582064784</v>
      </c>
      <c r="D365" s="5">
        <f t="shared" si="14"/>
        <v>0.76936471793521477</v>
      </c>
      <c r="E365" s="6">
        <f t="shared" si="15"/>
        <v>3.0783624841594533E-2</v>
      </c>
    </row>
    <row r="366" spans="1:5" ht="15.75" thickBot="1" x14ac:dyDescent="0.3">
      <c r="A366" s="12">
        <v>7.28</v>
      </c>
      <c r="B366" s="11">
        <v>25.766269900000001</v>
      </c>
      <c r="C366" s="8">
        <v>24.995440397788514</v>
      </c>
      <c r="D366" s="5">
        <f t="shared" si="14"/>
        <v>0.77082950221148749</v>
      </c>
      <c r="E366" s="6">
        <f t="shared" si="15"/>
        <v>3.083880459572487E-2</v>
      </c>
    </row>
    <row r="367" spans="1:5" ht="15.75" thickBot="1" x14ac:dyDescent="0.3">
      <c r="A367" s="12">
        <v>7.3</v>
      </c>
      <c r="B367" s="11">
        <v>25.770525500000002</v>
      </c>
      <c r="C367" s="8">
        <v>24.998213079472464</v>
      </c>
      <c r="D367" s="5">
        <f t="shared" si="14"/>
        <v>0.77231242052753757</v>
      </c>
      <c r="E367" s="6">
        <f t="shared" si="15"/>
        <v>3.0894705076409231E-2</v>
      </c>
    </row>
    <row r="368" spans="1:5" ht="15.75" thickBot="1" x14ac:dyDescent="0.3">
      <c r="A368" s="12">
        <v>7.32</v>
      </c>
      <c r="B368" s="11">
        <v>25.774788000000001</v>
      </c>
      <c r="C368" s="8">
        <v>25.000979657459936</v>
      </c>
      <c r="D368" s="5">
        <f t="shared" si="14"/>
        <v>0.77380834254006459</v>
      </c>
      <c r="E368" s="6">
        <f t="shared" si="15"/>
        <v>3.0951120841745543E-2</v>
      </c>
    </row>
    <row r="369" spans="1:5" ht="15.75" thickBot="1" x14ac:dyDescent="0.3">
      <c r="A369" s="12">
        <v>7.34</v>
      </c>
      <c r="B369" s="11">
        <v>25.779051599999999</v>
      </c>
      <c r="C369" s="8">
        <v>25.003740161861685</v>
      </c>
      <c r="D369" s="5">
        <f t="shared" si="14"/>
        <v>0.77531143813831349</v>
      </c>
      <c r="E369" s="6">
        <f t="shared" si="15"/>
        <v>3.1007818555117583E-2</v>
      </c>
    </row>
    <row r="370" spans="1:5" ht="15.75" thickBot="1" x14ac:dyDescent="0.3">
      <c r="A370" s="12">
        <v>7.36</v>
      </c>
      <c r="B370" s="11">
        <v>25.7833142</v>
      </c>
      <c r="C370" s="8">
        <v>25.006494622557909</v>
      </c>
      <c r="D370" s="5">
        <f t="shared" si="14"/>
        <v>0.77681957744209029</v>
      </c>
      <c r="E370" s="6">
        <f t="shared" si="15"/>
        <v>3.1064712954263302E-2</v>
      </c>
    </row>
    <row r="371" spans="1:5" ht="15.75" thickBot="1" x14ac:dyDescent="0.3">
      <c r="A371" s="12">
        <v>7.38</v>
      </c>
      <c r="B371" s="11">
        <v>25.787573200000001</v>
      </c>
      <c r="C371" s="8">
        <v>25.009243069201148</v>
      </c>
      <c r="D371" s="5">
        <f t="shared" si="14"/>
        <v>0.77833013079885305</v>
      </c>
      <c r="E371" s="6">
        <f t="shared" si="15"/>
        <v>3.1121698831315915E-2</v>
      </c>
    </row>
    <row r="372" spans="1:5" ht="15.75" thickBot="1" x14ac:dyDescent="0.3">
      <c r="A372" s="12">
        <v>7.4</v>
      </c>
      <c r="B372" s="11">
        <v>25.791824900000002</v>
      </c>
      <c r="C372" s="8">
        <v>25.011985531218272</v>
      </c>
      <c r="D372" s="5">
        <f t="shared" si="14"/>
        <v>0.77983936878172955</v>
      </c>
      <c r="E372" s="6">
        <f t="shared" si="15"/>
        <v>3.1178627054952782E-2</v>
      </c>
    </row>
    <row r="373" spans="1:5" ht="15.75" thickBot="1" x14ac:dyDescent="0.3">
      <c r="A373" s="12">
        <v>7.42</v>
      </c>
      <c r="B373" s="11">
        <v>25.796066799999998</v>
      </c>
      <c r="C373" s="8">
        <v>25.01472203781293</v>
      </c>
      <c r="D373" s="5">
        <f t="shared" si="14"/>
        <v>0.78134476218706794</v>
      </c>
      <c r="E373" s="6">
        <f t="shared" si="15"/>
        <v>3.1235396539924212E-2</v>
      </c>
    </row>
    <row r="374" spans="1:5" ht="15.75" thickBot="1" x14ac:dyDescent="0.3">
      <c r="A374" s="12">
        <v>7.4399999999999995</v>
      </c>
      <c r="B374" s="11">
        <v>25.800297499999999</v>
      </c>
      <c r="C374" s="8">
        <v>25.01745261796782</v>
      </c>
      <c r="D374" s="5">
        <f t="shared" si="14"/>
        <v>0.78284488203217961</v>
      </c>
      <c r="E374" s="6">
        <f t="shared" si="15"/>
        <v>3.1291950223178655E-2</v>
      </c>
    </row>
    <row r="375" spans="1:5" ht="15.75" thickBot="1" x14ac:dyDescent="0.3">
      <c r="A375" s="12">
        <v>7.46</v>
      </c>
      <c r="B375" s="11">
        <v>25.8045151</v>
      </c>
      <c r="C375" s="8">
        <v>25.020177300447074</v>
      </c>
      <c r="D375" s="5">
        <f t="shared" si="14"/>
        <v>0.78433779955292593</v>
      </c>
      <c r="E375" s="6">
        <f t="shared" si="15"/>
        <v>3.1348211091170447E-2</v>
      </c>
    </row>
    <row r="376" spans="1:5" ht="15.75" thickBot="1" x14ac:dyDescent="0.3">
      <c r="A376" s="12">
        <v>7.48</v>
      </c>
      <c r="B376" s="11">
        <v>25.8087181</v>
      </c>
      <c r="C376" s="8">
        <v>25.022896113798197</v>
      </c>
      <c r="D376" s="5">
        <f t="shared" si="14"/>
        <v>0.78582198620180321</v>
      </c>
      <c r="E376" s="6">
        <f t="shared" si="15"/>
        <v>3.140411815754944E-2</v>
      </c>
    </row>
    <row r="377" spans="1:5" ht="15.75" thickBot="1" x14ac:dyDescent="0.3">
      <c r="A377" s="12">
        <v>7.5</v>
      </c>
      <c r="B377" s="11">
        <v>25.812904499999998</v>
      </c>
      <c r="C377" s="8">
        <v>25.025609086354621</v>
      </c>
      <c r="D377" s="5">
        <f t="shared" si="14"/>
        <v>0.78729541364537781</v>
      </c>
      <c r="E377" s="6">
        <f t="shared" si="15"/>
        <v>3.1459590491032481E-2</v>
      </c>
    </row>
    <row r="378" spans="1:5" ht="15.75" thickBot="1" x14ac:dyDescent="0.3">
      <c r="A378" s="12">
        <v>7.52</v>
      </c>
      <c r="B378" s="11">
        <v>25.817073000000001</v>
      </c>
      <c r="C378" s="8">
        <v>25.02831624623758</v>
      </c>
      <c r="D378" s="5">
        <f t="shared" si="14"/>
        <v>0.78875675376242071</v>
      </c>
      <c r="E378" s="6">
        <f t="shared" si="15"/>
        <v>3.1514575171671479E-2</v>
      </c>
    </row>
    <row r="379" spans="1:5" ht="15.75" thickBot="1" x14ac:dyDescent="0.3">
      <c r="A379" s="12">
        <v>7.54</v>
      </c>
      <c r="B379" s="11">
        <v>25.821221999999999</v>
      </c>
      <c r="C379" s="8">
        <v>25.031017621358558</v>
      </c>
      <c r="D379" s="5">
        <f t="shared" si="14"/>
        <v>0.790204378641441</v>
      </c>
      <c r="E379" s="6">
        <f t="shared" si="15"/>
        <v>3.1569007325022713E-2</v>
      </c>
    </row>
    <row r="380" spans="1:5" ht="15.75" thickBot="1" x14ac:dyDescent="0.3">
      <c r="A380" s="12">
        <v>7.56</v>
      </c>
      <c r="B380" s="11">
        <v>25.825350199999999</v>
      </c>
      <c r="C380" s="8">
        <v>25.033713239421047</v>
      </c>
      <c r="D380" s="5">
        <f t="shared" si="14"/>
        <v>0.79163696057895194</v>
      </c>
      <c r="E380" s="6">
        <f t="shared" si="15"/>
        <v>3.1622834096075955E-2</v>
      </c>
    </row>
    <row r="381" spans="1:5" ht="15.75" thickBot="1" x14ac:dyDescent="0.3">
      <c r="A381" s="12">
        <v>7.58</v>
      </c>
      <c r="B381" s="11">
        <v>25.829456700000001</v>
      </c>
      <c r="C381" s="8">
        <v>25.036403127922938</v>
      </c>
      <c r="D381" s="5">
        <f t="shared" si="14"/>
        <v>0.79305357207706351</v>
      </c>
      <c r="E381" s="6">
        <f t="shared" si="15"/>
        <v>3.1676018636741632E-2</v>
      </c>
    </row>
    <row r="382" spans="1:5" ht="15.75" thickBot="1" x14ac:dyDescent="0.3">
      <c r="A382" s="12">
        <v>7.6</v>
      </c>
      <c r="B382" s="11">
        <v>25.833541100000001</v>
      </c>
      <c r="C382" s="8">
        <v>25.039087314158451</v>
      </c>
      <c r="D382" s="5">
        <f t="shared" si="14"/>
        <v>0.7944537858415508</v>
      </c>
      <c r="E382" s="6">
        <f t="shared" si="15"/>
        <v>3.1728544090835281E-2</v>
      </c>
    </row>
    <row r="383" spans="1:5" ht="15.75" thickBot="1" x14ac:dyDescent="0.3">
      <c r="A383" s="12">
        <v>7.62</v>
      </c>
      <c r="B383" s="11">
        <v>25.8376032</v>
      </c>
      <c r="C383" s="8">
        <v>25.041765825220239</v>
      </c>
      <c r="D383" s="5">
        <f t="shared" si="14"/>
        <v>0.79583737477976157</v>
      </c>
      <c r="E383" s="6">
        <f t="shared" si="15"/>
        <v>3.1780401603238868E-2</v>
      </c>
    </row>
    <row r="384" spans="1:5" ht="15.75" thickBot="1" x14ac:dyDescent="0.3">
      <c r="A384" s="12">
        <v>7.64</v>
      </c>
      <c r="B384" s="11">
        <v>25.841643000000001</v>
      </c>
      <c r="C384" s="8">
        <v>25.044438688001435</v>
      </c>
      <c r="D384" s="5">
        <f t="shared" si="14"/>
        <v>0.79720431199856634</v>
      </c>
      <c r="E384" s="6">
        <f t="shared" si="15"/>
        <v>3.183159031551782E-2</v>
      </c>
    </row>
    <row r="385" spans="1:5" ht="15.75" thickBot="1" x14ac:dyDescent="0.3">
      <c r="A385" s="12">
        <v>7.66</v>
      </c>
      <c r="B385" s="11">
        <v>25.845660299999999</v>
      </c>
      <c r="C385" s="8">
        <v>25.047105929197357</v>
      </c>
      <c r="D385" s="5">
        <f t="shared" si="14"/>
        <v>0.79855437080264124</v>
      </c>
      <c r="E385" s="6">
        <f t="shared" si="15"/>
        <v>3.1882101391672885E-2</v>
      </c>
    </row>
    <row r="386" spans="1:5" ht="15.75" thickBot="1" x14ac:dyDescent="0.3">
      <c r="A386" s="12">
        <v>7.68</v>
      </c>
      <c r="B386" s="11">
        <v>25.8496554</v>
      </c>
      <c r="C386" s="8">
        <v>25.049767575307953</v>
      </c>
      <c r="D386" s="5">
        <f t="shared" si="14"/>
        <v>0.79988782469204622</v>
      </c>
      <c r="E386" s="6">
        <f t="shared" si="15"/>
        <v>3.1931945966656848E-2</v>
      </c>
    </row>
    <row r="387" spans="1:5" ht="15.75" thickBot="1" x14ac:dyDescent="0.3">
      <c r="A387" s="12">
        <v>7.7</v>
      </c>
      <c r="B387" s="11">
        <v>25.853628199999999</v>
      </c>
      <c r="C387" s="8">
        <v>25.052423652639334</v>
      </c>
      <c r="D387" s="5">
        <f t="shared" ref="D387:D402" si="16">B387-C387</f>
        <v>0.80120454736066549</v>
      </c>
      <c r="E387" s="6">
        <f t="shared" ref="E387:E402" si="17">D387/C387</f>
        <v>3.1981119211045142E-2</v>
      </c>
    </row>
    <row r="388" spans="1:5" ht="15.75" thickBot="1" x14ac:dyDescent="0.3">
      <c r="A388" s="12">
        <v>7.72</v>
      </c>
      <c r="B388" s="11">
        <v>25.8575792</v>
      </c>
      <c r="C388" s="8">
        <v>25.05507418730582</v>
      </c>
      <c r="D388" s="5">
        <f t="shared" si="16"/>
        <v>0.80250501269417995</v>
      </c>
      <c r="E388" s="6">
        <f t="shared" si="17"/>
        <v>3.2029640251505218E-2</v>
      </c>
    </row>
    <row r="389" spans="1:5" ht="15.75" thickBot="1" x14ac:dyDescent="0.3">
      <c r="A389" s="12">
        <v>7.74</v>
      </c>
      <c r="B389" s="11">
        <v>25.861507199999998</v>
      </c>
      <c r="C389" s="8">
        <v>25.05771920523199</v>
      </c>
      <c r="D389" s="5">
        <f t="shared" si="16"/>
        <v>0.80378799476800822</v>
      </c>
      <c r="E389" s="6">
        <f t="shared" si="17"/>
        <v>3.2077460369983685E-2</v>
      </c>
    </row>
    <row r="390" spans="1:5" ht="15.75" thickBot="1" x14ac:dyDescent="0.3">
      <c r="A390" s="12">
        <v>7.76</v>
      </c>
      <c r="B390" s="11">
        <v>25.865417099999998</v>
      </c>
      <c r="C390" s="8">
        <v>25.060358732154214</v>
      </c>
      <c r="D390" s="5">
        <f t="shared" si="16"/>
        <v>0.80505836784578477</v>
      </c>
      <c r="E390" s="6">
        <f t="shared" si="17"/>
        <v>3.2124774287960928E-2</v>
      </c>
    </row>
    <row r="391" spans="1:5" ht="15.75" thickBot="1" x14ac:dyDescent="0.3">
      <c r="A391" s="12">
        <v>7.78</v>
      </c>
      <c r="B391" s="11">
        <v>25.869305600000001</v>
      </c>
      <c r="C391" s="8">
        <v>25.062992793622868</v>
      </c>
      <c r="D391" s="5">
        <f t="shared" si="16"/>
        <v>0.80631280637713232</v>
      </c>
      <c r="E391" s="6">
        <f t="shared" si="17"/>
        <v>3.2171449475989711E-2</v>
      </c>
    </row>
    <row r="392" spans="1:5" ht="15.75" thickBot="1" x14ac:dyDescent="0.3">
      <c r="A392" s="12">
        <v>7.8</v>
      </c>
      <c r="B392" s="11">
        <v>25.873208300000002</v>
      </c>
      <c r="C392" s="8">
        <v>25.065621415003875</v>
      </c>
      <c r="D392" s="5">
        <f t="shared" si="16"/>
        <v>0.80758688499612674</v>
      </c>
      <c r="E392" s="6">
        <f t="shared" si="17"/>
        <v>3.2218905393373506E-2</v>
      </c>
    </row>
    <row r="393" spans="1:5" ht="15.75" thickBot="1" x14ac:dyDescent="0.3">
      <c r="A393" s="12">
        <v>7.82</v>
      </c>
      <c r="B393" s="11">
        <v>25.877079899999998</v>
      </c>
      <c r="C393" s="8">
        <v>25.068244621480687</v>
      </c>
      <c r="D393" s="5">
        <f t="shared" si="16"/>
        <v>0.80883527851931092</v>
      </c>
      <c r="E393" s="6">
        <f t="shared" si="17"/>
        <v>3.2265333721302102E-2</v>
      </c>
    </row>
    <row r="394" spans="1:5" ht="15.75" thickBot="1" x14ac:dyDescent="0.3">
      <c r="A394" s="12">
        <v>7.84</v>
      </c>
      <c r="B394" s="11">
        <v>25.880997300000001</v>
      </c>
      <c r="C394" s="8">
        <v>25.070862438055826</v>
      </c>
      <c r="D394" s="5">
        <f t="shared" si="16"/>
        <v>0.81013486194417439</v>
      </c>
      <c r="E394" s="6">
        <f t="shared" si="17"/>
        <v>3.2313801088647273E-2</v>
      </c>
    </row>
    <row r="395" spans="1:5" ht="15.75" thickBot="1" x14ac:dyDescent="0.3">
      <c r="A395" s="12">
        <v>7.86</v>
      </c>
      <c r="B395" s="11">
        <v>25.884920399999999</v>
      </c>
      <c r="C395" s="8">
        <v>25.07347488955304</v>
      </c>
      <c r="D395" s="5">
        <f t="shared" si="16"/>
        <v>0.81144551044695845</v>
      </c>
      <c r="E395" s="6">
        <f t="shared" si="17"/>
        <v>3.2362706566254618E-2</v>
      </c>
    </row>
    <row r="396" spans="1:5" ht="15.75" thickBot="1" x14ac:dyDescent="0.3">
      <c r="A396" s="12">
        <v>7.88</v>
      </c>
      <c r="B396" s="11">
        <v>25.888722900000001</v>
      </c>
      <c r="C396" s="8">
        <v>25.076082000618669</v>
      </c>
      <c r="D396" s="5">
        <f t="shared" si="16"/>
        <v>0.8126408993813321</v>
      </c>
      <c r="E396" s="6">
        <f t="shared" si="17"/>
        <v>3.2407012361870685E-2</v>
      </c>
    </row>
    <row r="397" spans="1:5" ht="15.75" thickBot="1" x14ac:dyDescent="0.3">
      <c r="A397" s="12">
        <v>7.9</v>
      </c>
      <c r="B397" s="11">
        <v>25.8928634</v>
      </c>
      <c r="C397" s="8">
        <v>25.078683795723407</v>
      </c>
      <c r="D397" s="5">
        <f t="shared" si="16"/>
        <v>0.81417960427659253</v>
      </c>
      <c r="E397" s="6">
        <f t="shared" si="17"/>
        <v>3.2465005377013932E-2</v>
      </c>
    </row>
    <row r="398" spans="1:5" ht="15.75" thickBot="1" x14ac:dyDescent="0.3">
      <c r="A398" s="12">
        <v>7.92</v>
      </c>
      <c r="B398" s="11">
        <v>25.896531899999999</v>
      </c>
      <c r="C398" s="8">
        <v>25.081280299164234</v>
      </c>
      <c r="D398" s="5">
        <f t="shared" si="16"/>
        <v>0.81525160083576509</v>
      </c>
      <c r="E398" s="6">
        <f t="shared" si="17"/>
        <v>3.2504385386695395E-2</v>
      </c>
    </row>
    <row r="399" spans="1:5" ht="15.75" thickBot="1" x14ac:dyDescent="0.3">
      <c r="A399" s="12">
        <v>7.94</v>
      </c>
      <c r="B399" s="11">
        <v>25.9012198</v>
      </c>
      <c r="C399" s="8">
        <v>25.083871535065782</v>
      </c>
      <c r="D399" s="5">
        <f t="shared" si="16"/>
        <v>0.81734826493421764</v>
      </c>
      <c r="E399" s="6">
        <f t="shared" si="17"/>
        <v>3.258461373443141E-2</v>
      </c>
    </row>
    <row r="400" spans="1:5" ht="15.75" thickBot="1" x14ac:dyDescent="0.3">
      <c r="A400" s="12">
        <v>7.96</v>
      </c>
      <c r="B400" s="11">
        <v>25.9012198</v>
      </c>
      <c r="C400" s="8">
        <v>25.086457527382265</v>
      </c>
      <c r="D400" s="5">
        <f t="shared" si="16"/>
        <v>0.8147622726177346</v>
      </c>
      <c r="E400" s="6">
        <f t="shared" si="17"/>
        <v>3.2478171608263488E-2</v>
      </c>
    </row>
    <row r="401" spans="1:5" ht="15.75" thickBot="1" x14ac:dyDescent="0.3">
      <c r="A401" s="12">
        <v>7.98</v>
      </c>
      <c r="B401" s="11">
        <v>25.9021905</v>
      </c>
      <c r="C401" s="8">
        <v>25.089038299898903</v>
      </c>
      <c r="D401" s="5">
        <f t="shared" si="16"/>
        <v>0.81315220010109712</v>
      </c>
      <c r="E401" s="6">
        <f t="shared" si="17"/>
        <v>3.2410656414214721E-2</v>
      </c>
    </row>
    <row r="402" spans="1:5" ht="15.75" thickBot="1" x14ac:dyDescent="0.3">
      <c r="A402" s="12">
        <v>8</v>
      </c>
      <c r="B402" s="11">
        <v>25.906815699999999</v>
      </c>
      <c r="C402" s="8">
        <v>25.091613876233623</v>
      </c>
      <c r="D402" s="5">
        <f t="shared" si="16"/>
        <v>0.81520182376637607</v>
      </c>
      <c r="E402" s="6">
        <f t="shared" si="17"/>
        <v>3.2489015166079938E-2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73FB-3A69-4DE3-9696-B117D3A26893}">
  <dimension ref="A1:I18"/>
  <sheetViews>
    <sheetView zoomScaleNormal="100" workbookViewId="0">
      <selection activeCell="C27" sqref="C27"/>
    </sheetView>
  </sheetViews>
  <sheetFormatPr defaultColWidth="18.140625" defaultRowHeight="15" x14ac:dyDescent="0.25"/>
  <cols>
    <col min="1" max="1" width="18.42578125" style="3" bestFit="1" customWidth="1"/>
    <col min="2" max="2" width="22" bestFit="1" customWidth="1"/>
    <col min="3" max="3" width="20.85546875" bestFit="1" customWidth="1"/>
    <col min="4" max="4" width="17.7109375" bestFit="1" customWidth="1"/>
    <col min="5" max="5" width="7.28515625" bestFit="1" customWidth="1"/>
    <col min="6" max="6" width="27.140625" bestFit="1" customWidth="1"/>
    <col min="7" max="7" width="25.5703125" bestFit="1" customWidth="1"/>
    <col min="8" max="8" width="23" bestFit="1" customWidth="1"/>
    <col min="9" max="9" width="7.28515625" bestFit="1" customWidth="1"/>
  </cols>
  <sheetData>
    <row r="1" spans="1:9" ht="16.5" thickBot="1" x14ac:dyDescent="0.3">
      <c r="A1" s="1" t="s">
        <v>0</v>
      </c>
      <c r="B1" s="2" t="s">
        <v>18</v>
      </c>
      <c r="C1" s="2" t="s">
        <v>19</v>
      </c>
      <c r="D1" s="2" t="s">
        <v>15</v>
      </c>
      <c r="E1" s="2" t="s">
        <v>16</v>
      </c>
      <c r="F1" s="2" t="s">
        <v>17</v>
      </c>
      <c r="G1" s="2" t="s">
        <v>20</v>
      </c>
      <c r="H1" s="2" t="s">
        <v>21</v>
      </c>
      <c r="I1" s="2" t="s">
        <v>16</v>
      </c>
    </row>
    <row r="2" spans="1:9" ht="15.75" thickBot="1" x14ac:dyDescent="0.3">
      <c r="A2" s="4">
        <v>20</v>
      </c>
      <c r="B2" s="8">
        <v>34.768000000000001</v>
      </c>
      <c r="C2" s="5">
        <v>35.49</v>
      </c>
      <c r="D2" s="5">
        <f>(B2-C2)*-1</f>
        <v>0.72200000000000131</v>
      </c>
      <c r="E2" s="6">
        <f>D2/C2</f>
        <v>2.0343758805297301E-2</v>
      </c>
      <c r="F2" s="9">
        <v>14.456</v>
      </c>
      <c r="G2" s="5">
        <v>12.79</v>
      </c>
      <c r="H2" s="5">
        <f>F2-G2</f>
        <v>1.6660000000000004</v>
      </c>
      <c r="I2" s="6">
        <f>H2/G2</f>
        <v>0.13025801407349497</v>
      </c>
    </row>
    <row r="3" spans="1:9" ht="15.75" thickBot="1" x14ac:dyDescent="0.3">
      <c r="A3" s="4">
        <v>40</v>
      </c>
      <c r="B3" s="8">
        <v>28.359000000000002</v>
      </c>
      <c r="C3" s="5">
        <v>28.83</v>
      </c>
      <c r="D3" s="5">
        <f t="shared" ref="D3:D8" si="0">(B3-C3)*-1</f>
        <v>0.47099999999999653</v>
      </c>
      <c r="E3" s="6">
        <f t="shared" ref="E3:E8" si="1">D3/C3</f>
        <v>1.6337148803329746E-2</v>
      </c>
      <c r="F3" s="9">
        <v>25.244</v>
      </c>
      <c r="G3" s="5">
        <v>22.27</v>
      </c>
      <c r="H3" s="5">
        <f t="shared" ref="H3:H8" si="2">F3-G3</f>
        <v>2.9740000000000002</v>
      </c>
      <c r="I3" s="6">
        <f t="shared" ref="I3:I8" si="3">H3/G3</f>
        <v>0.13354288280197577</v>
      </c>
    </row>
    <row r="4" spans="1:9" ht="15.75" thickBot="1" x14ac:dyDescent="0.3">
      <c r="A4" s="4">
        <v>60</v>
      </c>
      <c r="B4" s="8">
        <v>26.103000000000002</v>
      </c>
      <c r="C4" s="5">
        <v>26.34</v>
      </c>
      <c r="D4" s="5">
        <f t="shared" si="0"/>
        <v>0.23699999999999832</v>
      </c>
      <c r="E4" s="6">
        <f t="shared" si="1"/>
        <v>8.997722095671918E-3</v>
      </c>
      <c r="F4" s="9">
        <v>34.482999999999997</v>
      </c>
      <c r="G4" s="5">
        <v>30.8</v>
      </c>
      <c r="H4" s="5">
        <f t="shared" si="2"/>
        <v>3.6829999999999963</v>
      </c>
      <c r="I4" s="6">
        <f t="shared" si="3"/>
        <v>0.11957792207792195</v>
      </c>
    </row>
    <row r="5" spans="1:9" ht="15.75" thickBot="1" x14ac:dyDescent="0.3">
      <c r="A5" s="4">
        <v>80</v>
      </c>
      <c r="B5" s="8">
        <v>24.876000000000001</v>
      </c>
      <c r="C5" s="5">
        <v>25.01</v>
      </c>
      <c r="D5" s="5">
        <f t="shared" si="0"/>
        <v>0.13400000000000034</v>
      </c>
      <c r="E5" s="6">
        <f t="shared" si="1"/>
        <v>5.3578568572571102E-3</v>
      </c>
      <c r="F5" s="9">
        <v>43.034999999999997</v>
      </c>
      <c r="G5" s="5">
        <v>38.770000000000003</v>
      </c>
      <c r="H5" s="5">
        <f t="shared" si="2"/>
        <v>4.2649999999999935</v>
      </c>
      <c r="I5" s="6">
        <f t="shared" si="3"/>
        <v>0.11000773794170733</v>
      </c>
    </row>
    <row r="6" spans="1:9" ht="15.75" thickBot="1" x14ac:dyDescent="0.3">
      <c r="A6" s="4">
        <v>100</v>
      </c>
      <c r="B6" s="8">
        <v>24.103999999999999</v>
      </c>
      <c r="C6" s="5">
        <v>24.16</v>
      </c>
      <c r="D6" s="5">
        <f t="shared" si="0"/>
        <v>5.6000000000000938E-2</v>
      </c>
      <c r="E6" s="6">
        <f t="shared" si="1"/>
        <v>2.3178807947020256E-3</v>
      </c>
      <c r="F6" s="9">
        <v>51.106000000000002</v>
      </c>
      <c r="G6" s="5">
        <v>46.35</v>
      </c>
      <c r="H6" s="5">
        <f t="shared" si="2"/>
        <v>4.7560000000000002</v>
      </c>
      <c r="I6" s="6">
        <f t="shared" si="3"/>
        <v>0.10261057173678532</v>
      </c>
    </row>
    <row r="7" spans="1:9" ht="15.75" thickBot="1" x14ac:dyDescent="0.3">
      <c r="A7" s="4">
        <v>120</v>
      </c>
      <c r="B7" s="8">
        <v>23.547000000000001</v>
      </c>
      <c r="C7" s="5">
        <v>23.58</v>
      </c>
      <c r="D7" s="5">
        <f t="shared" si="0"/>
        <v>3.2999999999997698E-2</v>
      </c>
      <c r="E7" s="6">
        <f t="shared" si="1"/>
        <v>1.3994910941474853E-3</v>
      </c>
      <c r="F7" s="9">
        <v>59.115000000000002</v>
      </c>
      <c r="G7" s="5">
        <v>53.63</v>
      </c>
      <c r="H7" s="5">
        <f t="shared" si="2"/>
        <v>5.4849999999999994</v>
      </c>
      <c r="I7" s="6">
        <f t="shared" si="3"/>
        <v>0.10227484616818944</v>
      </c>
    </row>
    <row r="8" spans="1:9" ht="15.75" thickBot="1" x14ac:dyDescent="0.3">
      <c r="A8" s="4">
        <v>140</v>
      </c>
      <c r="B8" s="8">
        <v>23.123999999999999</v>
      </c>
      <c r="C8" s="5">
        <v>23.15</v>
      </c>
      <c r="D8" s="5">
        <f t="shared" si="0"/>
        <v>2.5999999999999801E-2</v>
      </c>
      <c r="E8" s="6">
        <f t="shared" si="1"/>
        <v>1.1231101511878965E-3</v>
      </c>
      <c r="F8" s="9">
        <v>67.082999999999998</v>
      </c>
      <c r="G8" s="5">
        <v>60.67</v>
      </c>
      <c r="H8" s="5">
        <f t="shared" si="2"/>
        <v>6.4129999999999967</v>
      </c>
      <c r="I8" s="6">
        <f t="shared" si="3"/>
        <v>0.10570298335256299</v>
      </c>
    </row>
    <row r="11" spans="1:9" x14ac:dyDescent="0.25">
      <c r="A11" t="s">
        <v>36</v>
      </c>
      <c r="B11" t="s">
        <v>37</v>
      </c>
      <c r="C11" t="s">
        <v>38</v>
      </c>
    </row>
    <row r="12" spans="1:9" x14ac:dyDescent="0.25">
      <c r="A12">
        <v>20</v>
      </c>
      <c r="B12">
        <v>32.405210925274844</v>
      </c>
      <c r="C12">
        <v>16.122257106689965</v>
      </c>
    </row>
    <row r="13" spans="1:9" x14ac:dyDescent="0.25">
      <c r="A13">
        <v>40</v>
      </c>
      <c r="B13">
        <v>27.124922691627205</v>
      </c>
      <c r="C13">
        <v>28.070480011667783</v>
      </c>
    </row>
    <row r="14" spans="1:9" x14ac:dyDescent="0.25">
      <c r="A14">
        <v>60</v>
      </c>
      <c r="B14">
        <v>25.151185020690434</v>
      </c>
      <c r="C14">
        <v>38.826017546772846</v>
      </c>
    </row>
    <row r="15" spans="1:9" x14ac:dyDescent="0.25">
      <c r="A15">
        <v>80</v>
      </c>
      <c r="B15">
        <v>24.092193487676639</v>
      </c>
      <c r="C15">
        <v>48.873544372299961</v>
      </c>
    </row>
    <row r="16" spans="1:9" x14ac:dyDescent="0.25">
      <c r="A16">
        <v>100</v>
      </c>
      <c r="B16">
        <v>23.423167494056884</v>
      </c>
      <c r="C16">
        <v>58.42542041756046</v>
      </c>
    </row>
    <row r="17" spans="1:3" x14ac:dyDescent="0.25">
      <c r="A17">
        <v>120</v>
      </c>
      <c r="B17">
        <v>22.958578879776212</v>
      </c>
      <c r="C17">
        <v>67.600022891776604</v>
      </c>
    </row>
    <row r="18" spans="1:3" x14ac:dyDescent="0.25">
      <c r="A18">
        <v>140</v>
      </c>
      <c r="B18">
        <v>22.615325335348587</v>
      </c>
      <c r="C18">
        <v>76.47232154899109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E553-A31F-4AD2-975F-38E844DBDE13}">
  <dimension ref="A1:I19"/>
  <sheetViews>
    <sheetView workbookViewId="0">
      <selection activeCell="A12" sqref="A12:A19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16.5703125" bestFit="1" customWidth="1"/>
    <col min="4" max="4" width="17.28515625" bestFit="1" customWidth="1"/>
    <col min="5" max="5" width="7.85546875" bestFit="1" customWidth="1"/>
    <col min="6" max="6" width="18.5703125" bestFit="1" customWidth="1"/>
    <col min="7" max="7" width="17.5703125" bestFit="1" customWidth="1"/>
    <col min="8" max="8" width="13.85546875" bestFit="1" customWidth="1"/>
    <col min="9" max="9" width="7.85546875" bestFit="1" customWidth="1"/>
  </cols>
  <sheetData>
    <row r="1" spans="1:9" ht="15.75" thickBot="1" x14ac:dyDescent="0.3">
      <c r="A1" s="1" t="s">
        <v>0</v>
      </c>
      <c r="B1" s="2" t="s">
        <v>22</v>
      </c>
      <c r="C1" s="2" t="s">
        <v>27</v>
      </c>
      <c r="D1" s="2" t="s">
        <v>24</v>
      </c>
      <c r="E1" s="2" t="s">
        <v>16</v>
      </c>
      <c r="F1" s="2" t="s">
        <v>23</v>
      </c>
      <c r="G1" s="2" t="s">
        <v>26</v>
      </c>
      <c r="H1" s="2" t="s">
        <v>25</v>
      </c>
      <c r="I1" s="2" t="s">
        <v>16</v>
      </c>
    </row>
    <row r="2" spans="1:9" ht="15.75" thickBot="1" x14ac:dyDescent="0.3">
      <c r="A2" s="4">
        <v>20</v>
      </c>
      <c r="B2" s="10">
        <v>1.2501</v>
      </c>
      <c r="C2" s="5">
        <v>1.3740000000000001</v>
      </c>
      <c r="D2" s="5">
        <f>(B2-C2)*-1</f>
        <v>0.12390000000000012</v>
      </c>
      <c r="E2" s="6">
        <f>D2/C2</f>
        <v>9.0174672489083049E-2</v>
      </c>
      <c r="F2" s="11">
        <v>3.3062999999999999E-3</v>
      </c>
      <c r="G2" s="5">
        <v>3.803E-3</v>
      </c>
      <c r="H2" s="7">
        <f t="shared" ref="H2:H8" si="0">(F2-G2)*-1</f>
        <v>4.9670000000000009E-4</v>
      </c>
      <c r="I2" s="6">
        <f>H2/G2</f>
        <v>0.1306074151985275</v>
      </c>
    </row>
    <row r="3" spans="1:9" ht="15.75" thickBot="1" x14ac:dyDescent="0.3">
      <c r="A3" s="4">
        <v>40</v>
      </c>
      <c r="B3" s="10">
        <v>4.3365</v>
      </c>
      <c r="C3" s="5">
        <v>4.7850000000000001</v>
      </c>
      <c r="D3" s="5">
        <f t="shared" ref="D3:D8" si="1">(B3-C3)*-1</f>
        <v>0.44850000000000012</v>
      </c>
      <c r="E3" s="6">
        <f t="shared" ref="E3:E8" si="2">D3/C3</f>
        <v>9.3730407523511E-2</v>
      </c>
      <c r="F3" s="8">
        <v>2.8674E-3</v>
      </c>
      <c r="G3" s="5">
        <v>3.31E-3</v>
      </c>
      <c r="H3" s="7">
        <f t="shared" si="0"/>
        <v>4.4260000000000002E-4</v>
      </c>
      <c r="I3" s="6">
        <f t="shared" ref="I3:I8" si="3">H3/G3</f>
        <v>0.13371601208459216</v>
      </c>
    </row>
    <row r="4" spans="1:9" ht="15.75" thickBot="1" x14ac:dyDescent="0.3">
      <c r="A4" s="4">
        <v>60</v>
      </c>
      <c r="B4" s="10">
        <v>8.8742999999999999</v>
      </c>
      <c r="C4" s="5">
        <v>9.9269999999999996</v>
      </c>
      <c r="D4" s="5">
        <f t="shared" si="1"/>
        <v>1.0526999999999997</v>
      </c>
      <c r="E4" s="6">
        <f t="shared" si="2"/>
        <v>0.10604412209126622</v>
      </c>
      <c r="F4" s="8">
        <v>2.6078999999999998E-3</v>
      </c>
      <c r="G4" s="5">
        <v>3.052E-3</v>
      </c>
      <c r="H4" s="7">
        <f t="shared" si="0"/>
        <v>4.4410000000000022E-4</v>
      </c>
      <c r="I4" s="6">
        <f t="shared" si="3"/>
        <v>0.14551114023591094</v>
      </c>
    </row>
    <row r="5" spans="1:9" ht="15.75" thickBot="1" x14ac:dyDescent="0.3">
      <c r="A5" s="4">
        <v>80</v>
      </c>
      <c r="B5" s="10">
        <v>14.867000000000001</v>
      </c>
      <c r="C5" s="5">
        <v>16.66</v>
      </c>
      <c r="D5" s="5">
        <f t="shared" si="1"/>
        <v>1.7929999999999993</v>
      </c>
      <c r="E5" s="6">
        <f t="shared" si="2"/>
        <v>0.10762304921968784</v>
      </c>
      <c r="F5" s="8">
        <v>2.4575E-3</v>
      </c>
      <c r="G5" s="5">
        <v>2.882E-3</v>
      </c>
      <c r="H5" s="7">
        <f t="shared" si="0"/>
        <v>4.2449999999999996E-4</v>
      </c>
      <c r="I5" s="6">
        <f t="shared" si="3"/>
        <v>0.14729354614850798</v>
      </c>
    </row>
    <row r="6" spans="1:9" ht="15.75" thickBot="1" x14ac:dyDescent="0.3">
      <c r="A6" s="4">
        <v>100</v>
      </c>
      <c r="B6" s="10">
        <v>22.318000000000001</v>
      </c>
      <c r="C6" s="5">
        <v>24.9</v>
      </c>
      <c r="D6" s="5">
        <f t="shared" si="1"/>
        <v>2.5819999999999972</v>
      </c>
      <c r="E6" s="6">
        <f t="shared" si="2"/>
        <v>0.10369477911646575</v>
      </c>
      <c r="F6" s="8">
        <v>2.3611999999999999E-3</v>
      </c>
      <c r="G6" s="5">
        <v>2.7560000000000002E-3</v>
      </c>
      <c r="H6" s="7">
        <f t="shared" si="0"/>
        <v>3.9480000000000027E-4</v>
      </c>
      <c r="I6" s="6">
        <f t="shared" si="3"/>
        <v>0.14325108853410748</v>
      </c>
    </row>
    <row r="7" spans="1:9" ht="15.75" thickBot="1" x14ac:dyDescent="0.3">
      <c r="A7" s="4">
        <v>120</v>
      </c>
      <c r="B7" s="10">
        <v>31.204999999999998</v>
      </c>
      <c r="C7" s="5">
        <v>34.57</v>
      </c>
      <c r="D7" s="5">
        <f t="shared" si="1"/>
        <v>3.365000000000002</v>
      </c>
      <c r="E7" s="6">
        <f t="shared" si="2"/>
        <v>9.7338733005496156E-2</v>
      </c>
      <c r="F7" s="8">
        <v>2.2926000000000001E-3</v>
      </c>
      <c r="G7" s="5">
        <v>2.6570000000000001E-3</v>
      </c>
      <c r="H7" s="7">
        <f t="shared" si="0"/>
        <v>3.6439999999999997E-4</v>
      </c>
      <c r="I7" s="6">
        <f t="shared" si="3"/>
        <v>0.13714715844937897</v>
      </c>
    </row>
    <row r="8" spans="1:9" ht="15.75" thickBot="1" x14ac:dyDescent="0.3">
      <c r="A8" s="4">
        <v>140</v>
      </c>
      <c r="B8" s="10">
        <v>41.497999999999998</v>
      </c>
      <c r="C8" s="5">
        <v>45.62</v>
      </c>
      <c r="D8" s="5">
        <f t="shared" si="1"/>
        <v>4.1219999999999999</v>
      </c>
      <c r="E8" s="6">
        <f t="shared" si="2"/>
        <v>9.0355107409031132E-2</v>
      </c>
      <c r="F8" s="8">
        <v>2.2399999999999998E-3</v>
      </c>
      <c r="G8" s="5">
        <v>2.5769999999999999E-3</v>
      </c>
      <c r="H8" s="7">
        <f t="shared" si="0"/>
        <v>3.3700000000000006E-4</v>
      </c>
      <c r="I8" s="6">
        <f t="shared" si="3"/>
        <v>0.13077221575475362</v>
      </c>
    </row>
    <row r="12" spans="1:9" x14ac:dyDescent="0.25">
      <c r="A12" t="s">
        <v>36</v>
      </c>
      <c r="B12" t="s">
        <v>39</v>
      </c>
      <c r="C12" t="s">
        <v>40</v>
      </c>
    </row>
    <row r="13" spans="1:9" x14ac:dyDescent="0.25">
      <c r="A13">
        <v>20</v>
      </c>
      <c r="B13">
        <v>3.7573917300706811E-3</v>
      </c>
      <c r="C13">
        <v>1.3916265666928447</v>
      </c>
    </row>
    <row r="14" spans="1:9" x14ac:dyDescent="0.25">
      <c r="A14">
        <v>40</v>
      </c>
      <c r="B14">
        <v>3.2709994871372296E-3</v>
      </c>
      <c r="C14">
        <v>4.845925166129228</v>
      </c>
    </row>
    <row r="15" spans="1:9" x14ac:dyDescent="0.25">
      <c r="A15">
        <v>60</v>
      </c>
      <c r="B15">
        <v>3.0162145055419136E-3</v>
      </c>
      <c r="C15">
        <v>10.054048351806381</v>
      </c>
    </row>
    <row r="16" spans="1:9" x14ac:dyDescent="0.25">
      <c r="A16">
        <v>80</v>
      </c>
      <c r="B16">
        <v>2.8475704460686484E-3</v>
      </c>
      <c r="C16">
        <v>16.874491532258656</v>
      </c>
    </row>
    <row r="17" spans="1:3" x14ac:dyDescent="0.25">
      <c r="A17">
        <v>100</v>
      </c>
      <c r="B17">
        <v>2.7232811144259827E-3</v>
      </c>
      <c r="C17">
        <v>25.215565874314656</v>
      </c>
    </row>
    <row r="18" spans="1:3" x14ac:dyDescent="0.25">
      <c r="A18">
        <v>120</v>
      </c>
      <c r="B18">
        <v>2.6257672368214533E-3</v>
      </c>
      <c r="C18">
        <v>35.01022982428605</v>
      </c>
    </row>
    <row r="19" spans="1:3" x14ac:dyDescent="0.25">
      <c r="A19">
        <v>140</v>
      </c>
      <c r="B19">
        <v>2.5460496422166075E-3</v>
      </c>
      <c r="C19">
        <v>46.206086099486576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 1 (Empirical) (MATLAB)</vt:lpstr>
      <vt:lpstr>Req 2,3 (Empirical)</vt:lpstr>
      <vt:lpstr>Req 1 comparison</vt:lpstr>
      <vt:lpstr>Req 2 comparison</vt:lpstr>
      <vt:lpstr>Req 3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Hosni</dc:creator>
  <cp:lastModifiedBy>Mohamed Hosni</cp:lastModifiedBy>
  <dcterms:created xsi:type="dcterms:W3CDTF">2025-12-14T13:20:05Z</dcterms:created>
  <dcterms:modified xsi:type="dcterms:W3CDTF">2025-12-17T20:36:03Z</dcterms:modified>
</cp:coreProperties>
</file>