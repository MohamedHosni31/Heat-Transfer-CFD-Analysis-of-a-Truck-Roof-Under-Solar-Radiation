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llege\Heat Transfer\Project\"/>
    </mc:Choice>
  </mc:AlternateContent>
  <xr:revisionPtr revIDLastSave="0" documentId="8_{D7242265-228D-424C-BF4D-86B4566E6676}" xr6:coauthVersionLast="47" xr6:coauthVersionMax="47" xr10:uidLastSave="{00000000-0000-0000-0000-000000000000}"/>
  <bookViews>
    <workbookView xWindow="-120" yWindow="-120" windowWidth="29040" windowHeight="15720" activeTab="4" xr2:uid="{C38F00AA-9027-422C-821D-1FD0E780C0B7}"/>
  </bookViews>
  <sheets>
    <sheet name="Req 1 (Empirical)" sheetId="2" r:id="rId1"/>
    <sheet name="Req 2,3 (Empirical)" sheetId="1" r:id="rId2"/>
    <sheet name="Req 1 comparison" sheetId="3" r:id="rId3"/>
    <sheet name="Req 2 comparison" sheetId="4" r:id="rId4"/>
    <sheet name="Req 3 Compariso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H2" i="5"/>
  <c r="I2" i="5" s="1"/>
  <c r="I3" i="5"/>
  <c r="H4" i="5"/>
  <c r="I4" i="5"/>
  <c r="H5" i="5"/>
  <c r="I5" i="5"/>
  <c r="H6" i="5"/>
  <c r="I6" i="5" s="1"/>
  <c r="H7" i="5"/>
  <c r="I7" i="5" s="1"/>
  <c r="H8" i="5"/>
  <c r="I8" i="5"/>
  <c r="D3" i="5"/>
  <c r="E3" i="5"/>
  <c r="D4" i="5"/>
  <c r="E4" i="5"/>
  <c r="D5" i="5"/>
  <c r="E5" i="5" s="1"/>
  <c r="D6" i="5"/>
  <c r="E6" i="5" s="1"/>
  <c r="D7" i="5"/>
  <c r="E7" i="5"/>
  <c r="D8" i="5"/>
  <c r="E8" i="5"/>
  <c r="E2" i="5"/>
  <c r="D2" i="5"/>
  <c r="D3" i="4"/>
  <c r="D4" i="4"/>
  <c r="D5" i="4"/>
  <c r="E5" i="4" s="1"/>
  <c r="D6" i="4"/>
  <c r="E6" i="4" s="1"/>
  <c r="D7" i="4"/>
  <c r="D8" i="4"/>
  <c r="E8" i="4" s="1"/>
  <c r="D2" i="4"/>
  <c r="E2" i="4" s="1"/>
  <c r="I3" i="4"/>
  <c r="I4" i="4"/>
  <c r="I5" i="4"/>
  <c r="I6" i="4"/>
  <c r="I7" i="4"/>
  <c r="I8" i="4"/>
  <c r="H3" i="4"/>
  <c r="H4" i="4"/>
  <c r="H5" i="4"/>
  <c r="H6" i="4"/>
  <c r="H7" i="4"/>
  <c r="H8" i="4"/>
  <c r="I2" i="4"/>
  <c r="H2" i="4"/>
  <c r="E3" i="4"/>
  <c r="E4" i="4"/>
  <c r="E7" i="4"/>
  <c r="E3" i="3"/>
  <c r="E4" i="3"/>
  <c r="E5" i="3"/>
  <c r="E6" i="3"/>
  <c r="E7" i="3"/>
  <c r="E8" i="3"/>
  <c r="E9" i="3"/>
  <c r="E10" i="3"/>
  <c r="E2" i="3"/>
</calcChain>
</file>

<file path=xl/sharedStrings.xml><?xml version="1.0" encoding="utf-8"?>
<sst xmlns="http://schemas.openxmlformats.org/spreadsheetml/2006/main" count="36" uniqueCount="28">
  <si>
    <t>Velocity (U) (km/h)</t>
  </si>
  <si>
    <t>Surface Average Temperature (Ts, avg) (°C)</t>
  </si>
  <si>
    <r>
      <t xml:space="preserve">Overall Convection Coefficient (h, avg) </t>
    </r>
    <r>
      <rPr>
        <b/>
        <sz val="12"/>
        <color rgb="FF000000"/>
        <rFont val="Calibri"/>
        <family val="2"/>
        <scheme val="minor"/>
      </rPr>
      <t>(W/m²·K)</t>
    </r>
  </si>
  <si>
    <t>Friction Force (Fd) (N)</t>
  </si>
  <si>
    <t>Overall Skin Friction Coefficient (Cd, avg)</t>
  </si>
  <si>
    <t>x (m)</t>
  </si>
  <si>
    <t>Ts @ 20 km/h</t>
  </si>
  <si>
    <t>Ts @ 40 km/h</t>
  </si>
  <si>
    <t>Ts @ 60 km/h</t>
  </si>
  <si>
    <t>Ts @ 80 km/h</t>
  </si>
  <si>
    <t>Ts @ 100 km/h</t>
  </si>
  <si>
    <t>Ts @ 120 km/h</t>
  </si>
  <si>
    <t>Ts @ 140 km/h</t>
  </si>
  <si>
    <t>Ts (Numerical)</t>
  </si>
  <si>
    <t>Ts (Empirical)</t>
  </si>
  <si>
    <t>Absolute Error (°C)</t>
  </si>
  <si>
    <t>% Error</t>
  </si>
  <si>
    <r>
      <t xml:space="preserve">h, avg </t>
    </r>
    <r>
      <rPr>
        <b/>
        <sz val="12"/>
        <color rgb="FF000000"/>
        <rFont val="Calibri"/>
        <family val="2"/>
        <scheme val="minor"/>
      </rPr>
      <t>(W/m²·K)</t>
    </r>
    <r>
      <rPr>
        <b/>
        <sz val="11"/>
        <color rgb="FF000000"/>
        <rFont val="Calibri"/>
        <family val="2"/>
        <scheme val="minor"/>
      </rPr>
      <t xml:space="preserve"> (Numerical)</t>
    </r>
  </si>
  <si>
    <t>Ts, avg (°C) (Numerical)</t>
  </si>
  <si>
    <t>Ts, avg (°C) (Empirical)</t>
  </si>
  <si>
    <t>h, avg (W/m²·K) (Empirical)</t>
  </si>
  <si>
    <t>Absolute Error (W/m²·K)</t>
  </si>
  <si>
    <t>Fd (N) (Numerical)</t>
  </si>
  <si>
    <t>Cd, avg (Numerical)</t>
  </si>
  <si>
    <t>Absolute Error (N)</t>
  </si>
  <si>
    <t>Absolute Error</t>
  </si>
  <si>
    <t>Cd, avg (Empirical)</t>
  </si>
  <si>
    <t>Fd (N) (Empirical)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</si>
</sst>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5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0" fontId="3" fillId="0" borderId="4" xfId="0" applyNumberFormat="1" applyFont="1" applyBorder="1" applyAlignment="1">
      <alignment horizontal="center" vertical="center"/>
    </xf>
    <xf numFmtId="175" fontId="3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Ts,local</a:t>
            </a:r>
            <a:r>
              <a:rPr lang="en-US" baseline="0"/>
              <a:t> Vs x Comparison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'Req 1 comparison'!$B$1</c:f>
              <c:strCache>
                <c:ptCount val="1"/>
                <c:pt idx="0">
                  <c:v>Ts (Numerical)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'Req 1 comparison'!$A$2:$A$10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'Req 1 comparison'!$B$2:$B$10</c:f>
              <c:numCache>
                <c:formatCode>General</c:formatCode>
                <c:ptCount val="9"/>
                <c:pt idx="0">
                  <c:v>23.43</c:v>
                </c:pt>
                <c:pt idx="1">
                  <c:v>23.19</c:v>
                </c:pt>
                <c:pt idx="2">
                  <c:v>23.69</c:v>
                </c:pt>
                <c:pt idx="3">
                  <c:v>24.03</c:v>
                </c:pt>
                <c:pt idx="4">
                  <c:v>24.28</c:v>
                </c:pt>
                <c:pt idx="5">
                  <c:v>24.47</c:v>
                </c:pt>
                <c:pt idx="6">
                  <c:v>24.64</c:v>
                </c:pt>
                <c:pt idx="7">
                  <c:v>24.78</c:v>
                </c:pt>
                <c:pt idx="8">
                  <c:v>24.9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F8-4381-90BE-E654091426B9}"/>
            </c:ext>
          </c:extLst>
        </c:ser>
        <c:ser>
          <c:idx val="1"/>
          <c:order val="1"/>
          <c:tx>
            <c:strRef>
              <c:f>'Req 1 comparison'!$C$1</c:f>
              <c:strCache>
                <c:ptCount val="1"/>
                <c:pt idx="0">
                  <c:v>Ts (Empirical)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'Req 1 comparison'!$A$2:$A$10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'Req 1 comparison'!$C$2:$C$10</c:f>
              <c:numCache>
                <c:formatCode>General</c:formatCode>
                <c:ptCount val="9"/>
                <c:pt idx="0">
                  <c:v>23.88</c:v>
                </c:pt>
                <c:pt idx="1">
                  <c:v>23.52</c:v>
                </c:pt>
                <c:pt idx="2">
                  <c:v>23.63</c:v>
                </c:pt>
                <c:pt idx="3">
                  <c:v>23.86</c:v>
                </c:pt>
                <c:pt idx="4">
                  <c:v>24.09</c:v>
                </c:pt>
                <c:pt idx="5">
                  <c:v>24.28</c:v>
                </c:pt>
                <c:pt idx="6">
                  <c:v>24.45</c:v>
                </c:pt>
                <c:pt idx="7">
                  <c:v>24.59</c:v>
                </c:pt>
                <c:pt idx="8">
                  <c:v>24.71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2F8-4381-90BE-E65409142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31088"/>
        <c:axId val="135610448"/>
      </c:scatterChart>
      <c:valAx>
        <c:axId val="13563108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(x)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10448"/>
        <c:crosses val="autoZero"/>
        <c:crossBetween val="midCat"/>
      </c:valAx>
      <c:valAx>
        <c:axId val="13561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Local Surface</a:t>
                </a:r>
                <a:r>
                  <a:rPr lang="en-US" baseline="0"/>
                  <a:t> Temperature (Ts,local) </a:t>
                </a:r>
                <a:r>
                  <a:rPr lang="en-US" sz="1000" b="0" i="0" u="none" strike="noStrike" baseline="0"/>
                  <a:t>(°C)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4009746366245284E-2"/>
              <c:y val="0.138255898106383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31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Ts, avg and h,</a:t>
            </a:r>
            <a:r>
              <a:rPr lang="en-US" baseline="0"/>
              <a:t> avg Vs 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'Req 2 comparison'!$B$1</c:f>
              <c:strCache>
                <c:ptCount val="1"/>
                <c:pt idx="0">
                  <c:v>Ts, avg (°C) (Numerical)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'Req 2 comparison'!$A$2:$A$8</c:f>
              <c:numCache>
                <c:formatCode>General</c:formatCode>
                <c:ptCount val="7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</c:numCache>
            </c:numRef>
          </c:xVal>
          <c:yVal>
            <c:numRef>
              <c:f>'Req 2 comparison'!$B$2:$B$8</c:f>
              <c:numCache>
                <c:formatCode>General</c:formatCode>
                <c:ptCount val="7"/>
                <c:pt idx="0">
                  <c:v>33.055</c:v>
                </c:pt>
                <c:pt idx="1">
                  <c:v>27.373000000000001</c:v>
                </c:pt>
                <c:pt idx="2">
                  <c:v>25.259</c:v>
                </c:pt>
                <c:pt idx="3">
                  <c:v>24.131</c:v>
                </c:pt>
                <c:pt idx="4">
                  <c:v>23.422999999999998</c:v>
                </c:pt>
                <c:pt idx="5">
                  <c:v>22.934000000000001</c:v>
                </c:pt>
                <c:pt idx="6">
                  <c:v>22.574999999999999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D20-4E35-8E78-22594637F992}"/>
            </c:ext>
          </c:extLst>
        </c:ser>
        <c:ser>
          <c:idx val="1"/>
          <c:order val="1"/>
          <c:tx>
            <c:strRef>
              <c:f>'Req 2 comparison'!$C$1</c:f>
              <c:strCache>
                <c:ptCount val="1"/>
                <c:pt idx="0">
                  <c:v>Ts, avg (°C) (Empirical)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'Req 2 comparison'!$A$2:$A$8</c:f>
              <c:numCache>
                <c:formatCode>General</c:formatCode>
                <c:ptCount val="7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</c:numCache>
            </c:numRef>
          </c:xVal>
          <c:yVal>
            <c:numRef>
              <c:f>'Req 2 comparison'!$C$2:$C$8</c:f>
              <c:numCache>
                <c:formatCode>General</c:formatCode>
                <c:ptCount val="7"/>
                <c:pt idx="0">
                  <c:v>35.49</c:v>
                </c:pt>
                <c:pt idx="1">
                  <c:v>28.83</c:v>
                </c:pt>
                <c:pt idx="2">
                  <c:v>26.34</c:v>
                </c:pt>
                <c:pt idx="3">
                  <c:v>25.01</c:v>
                </c:pt>
                <c:pt idx="4">
                  <c:v>24.16</c:v>
                </c:pt>
                <c:pt idx="5">
                  <c:v>23.58</c:v>
                </c:pt>
                <c:pt idx="6">
                  <c:v>23.15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D20-4E35-8E78-22594637F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98032"/>
        <c:axId val="173886032"/>
      </c:scatterChart>
      <c:scatterChart>
        <c:scatterStyle val="smoothMarker"/>
        <c:varyColors val="0"/>
        <c:ser>
          <c:idx val="2"/>
          <c:order val="2"/>
          <c:tx>
            <c:strRef>
              <c:f>'Req 2 comparison'!$F$1</c:f>
              <c:strCache>
                <c:ptCount val="1"/>
                <c:pt idx="0">
                  <c:v>h, avg (W/m²·K) (Numerical)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'Req 2 comparison'!$A$2:$A$8</c:f>
              <c:numCache>
                <c:formatCode>General</c:formatCode>
                <c:ptCount val="7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</c:numCache>
            </c:numRef>
          </c:xVal>
          <c:yVal>
            <c:numRef>
              <c:f>'Req 2 comparison'!$F$2:$F$8</c:f>
              <c:numCache>
                <c:formatCode>General</c:formatCode>
                <c:ptCount val="7"/>
                <c:pt idx="0">
                  <c:v>15.807</c:v>
                </c:pt>
                <c:pt idx="1">
                  <c:v>27.850999999999999</c:v>
                </c:pt>
                <c:pt idx="2">
                  <c:v>38.962000000000003</c:v>
                </c:pt>
                <c:pt idx="3">
                  <c:v>49.530999999999999</c:v>
                </c:pt>
                <c:pt idx="4">
                  <c:v>59.723999999999997</c:v>
                </c:pt>
                <c:pt idx="5">
                  <c:v>69.632999999999996</c:v>
                </c:pt>
                <c:pt idx="6">
                  <c:v>79.313000000000002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D20-4E35-8E78-22594637F992}"/>
            </c:ext>
          </c:extLst>
        </c:ser>
        <c:ser>
          <c:idx val="3"/>
          <c:order val="3"/>
          <c:tx>
            <c:strRef>
              <c:f>'Req 2 comparison'!$G$1</c:f>
              <c:strCache>
                <c:ptCount val="1"/>
                <c:pt idx="0">
                  <c:v>h, avg (W/m²·K) (Empirical)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'Req 2 comparison'!$A$2:$A$8</c:f>
              <c:numCache>
                <c:formatCode>General</c:formatCode>
                <c:ptCount val="7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</c:numCache>
            </c:numRef>
          </c:xVal>
          <c:yVal>
            <c:numRef>
              <c:f>'Req 2 comparison'!$G$2:$G$8</c:f>
              <c:numCache>
                <c:formatCode>General</c:formatCode>
                <c:ptCount val="7"/>
                <c:pt idx="0">
                  <c:v>12.79</c:v>
                </c:pt>
                <c:pt idx="1">
                  <c:v>22.27</c:v>
                </c:pt>
                <c:pt idx="2">
                  <c:v>30.8</c:v>
                </c:pt>
                <c:pt idx="3">
                  <c:v>38.770000000000003</c:v>
                </c:pt>
                <c:pt idx="4">
                  <c:v>46.35</c:v>
                </c:pt>
                <c:pt idx="5">
                  <c:v>53.63</c:v>
                </c:pt>
                <c:pt idx="6">
                  <c:v>60.67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D20-4E35-8E78-22594637F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90352"/>
        <c:axId val="173889872"/>
      </c:scatterChart>
      <c:valAx>
        <c:axId val="173898032"/>
        <c:scaling>
          <c:orientation val="minMax"/>
          <c:max val="140"/>
          <c:min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Velocity (km/h)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86032"/>
        <c:crosses val="autoZero"/>
        <c:crossBetween val="midCat"/>
      </c:valAx>
      <c:valAx>
        <c:axId val="17388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Surface Average Temperature (°C)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98032"/>
        <c:crosses val="autoZero"/>
        <c:crossBetween val="midCat"/>
      </c:valAx>
      <c:valAx>
        <c:axId val="17388987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</a:t>
                </a:r>
                <a:r>
                  <a:rPr lang="en-US" sz="1000" b="0" i="0" u="none" strike="noStrike" baseline="0">
                    <a:effectLst/>
                  </a:rPr>
                  <a:t>verall Convection Coefficient (W/m²·K)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90352"/>
        <c:crosses val="max"/>
        <c:crossBetween val="midCat"/>
      </c:valAx>
      <c:valAx>
        <c:axId val="1738903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3889872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 and Cd, avg Vs.</a:t>
            </a:r>
            <a:r>
              <a:rPr lang="en-US" baseline="0"/>
              <a:t> 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'Req 3 Comparison'!$B$1</c:f>
              <c:strCache>
                <c:ptCount val="1"/>
                <c:pt idx="0">
                  <c:v>Fd (N) (Numerical)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'Req 3 Comparison'!$A$2:$A$8</c:f>
              <c:numCache>
                <c:formatCode>General</c:formatCode>
                <c:ptCount val="7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</c:numCache>
            </c:numRef>
          </c:xVal>
          <c:yVal>
            <c:numRef>
              <c:f>'Req 3 Comparison'!$B$2:$B$8</c:f>
              <c:numCache>
                <c:formatCode>General</c:formatCode>
                <c:ptCount val="7"/>
                <c:pt idx="0">
                  <c:v>1.41</c:v>
                </c:pt>
                <c:pt idx="1">
                  <c:v>4.9965000000000002</c:v>
                </c:pt>
                <c:pt idx="2">
                  <c:v>10.513</c:v>
                </c:pt>
                <c:pt idx="3">
                  <c:v>17.849</c:v>
                </c:pt>
                <c:pt idx="4">
                  <c:v>26.934999999999999</c:v>
                </c:pt>
                <c:pt idx="5">
                  <c:v>37.719000000000001</c:v>
                </c:pt>
                <c:pt idx="6">
                  <c:v>50.158999999999999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B3-44B2-9BBB-B1AB123E14A7}"/>
            </c:ext>
          </c:extLst>
        </c:ser>
        <c:ser>
          <c:idx val="1"/>
          <c:order val="1"/>
          <c:tx>
            <c:strRef>
              <c:f>'Req 3 Comparison'!$C$1</c:f>
              <c:strCache>
                <c:ptCount val="1"/>
                <c:pt idx="0">
                  <c:v>Fd (N) (Empirical)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'Req 3 Comparison'!$A$2:$A$8</c:f>
              <c:numCache>
                <c:formatCode>General</c:formatCode>
                <c:ptCount val="7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</c:numCache>
            </c:numRef>
          </c:xVal>
          <c:yVal>
            <c:numRef>
              <c:f>'Req 3 Comparison'!$C$2:$C$8</c:f>
              <c:numCache>
                <c:formatCode>General</c:formatCode>
                <c:ptCount val="7"/>
                <c:pt idx="0">
                  <c:v>1.3740000000000001</c:v>
                </c:pt>
                <c:pt idx="1">
                  <c:v>4.7850000000000001</c:v>
                </c:pt>
                <c:pt idx="2">
                  <c:v>9.9269999999999996</c:v>
                </c:pt>
                <c:pt idx="3">
                  <c:v>16.66</c:v>
                </c:pt>
                <c:pt idx="4">
                  <c:v>24.9</c:v>
                </c:pt>
                <c:pt idx="5">
                  <c:v>34.57</c:v>
                </c:pt>
                <c:pt idx="6">
                  <c:v>45.62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1B3-44B2-9BBB-B1AB123E1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70672"/>
        <c:axId val="173853392"/>
      </c:scatterChart>
      <c:scatterChart>
        <c:scatterStyle val="smoothMarker"/>
        <c:varyColors val="0"/>
        <c:ser>
          <c:idx val="2"/>
          <c:order val="2"/>
          <c:tx>
            <c:strRef>
              <c:f>'Req 3 Comparison'!$F$1</c:f>
              <c:strCache>
                <c:ptCount val="1"/>
                <c:pt idx="0">
                  <c:v>Cd, avg (Numerical)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'Req 3 Comparison'!$A$2:$A$8</c:f>
              <c:numCache>
                <c:formatCode>General</c:formatCode>
                <c:ptCount val="7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</c:numCache>
            </c:numRef>
          </c:xVal>
          <c:yVal>
            <c:numRef>
              <c:f>'Req 3 Comparison'!$F$2:$F$8</c:f>
              <c:numCache>
                <c:formatCode>General</c:formatCode>
                <c:ptCount val="7"/>
                <c:pt idx="0">
                  <c:v>3.7291999999999998E-3</c:v>
                </c:pt>
                <c:pt idx="1">
                  <c:v>3.3038E-3</c:v>
                </c:pt>
                <c:pt idx="2">
                  <c:v>3.0950000000000001E-3</c:v>
                </c:pt>
                <c:pt idx="3">
                  <c:v>2.9559999999999999E-3</c:v>
                </c:pt>
                <c:pt idx="4">
                  <c:v>2.8495999999999999E-3</c:v>
                </c:pt>
                <c:pt idx="5">
                  <c:v>2.7712000000000001E-3</c:v>
                </c:pt>
                <c:pt idx="6">
                  <c:v>2.7074999999999998E-3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1B3-44B2-9BBB-B1AB123E14A7}"/>
            </c:ext>
          </c:extLst>
        </c:ser>
        <c:ser>
          <c:idx val="3"/>
          <c:order val="3"/>
          <c:tx>
            <c:strRef>
              <c:f>'Req 3 Comparison'!$G$1</c:f>
              <c:strCache>
                <c:ptCount val="1"/>
                <c:pt idx="0">
                  <c:v>Cd, avg (Empirical)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'Req 3 Comparison'!$A$2:$A$8</c:f>
              <c:numCache>
                <c:formatCode>General</c:formatCode>
                <c:ptCount val="7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</c:numCache>
            </c:numRef>
          </c:xVal>
          <c:yVal>
            <c:numRef>
              <c:f>'Req 3 Comparison'!$G$2:$G$8</c:f>
              <c:numCache>
                <c:formatCode>General</c:formatCode>
                <c:ptCount val="7"/>
                <c:pt idx="0">
                  <c:v>3.803E-3</c:v>
                </c:pt>
                <c:pt idx="1">
                  <c:v>3.31E-3</c:v>
                </c:pt>
                <c:pt idx="2">
                  <c:v>3.052E-3</c:v>
                </c:pt>
                <c:pt idx="3">
                  <c:v>2.882E-3</c:v>
                </c:pt>
                <c:pt idx="4">
                  <c:v>2.7560000000000002E-3</c:v>
                </c:pt>
                <c:pt idx="5">
                  <c:v>2.6570000000000001E-3</c:v>
                </c:pt>
                <c:pt idx="6">
                  <c:v>2.5769999999999999E-3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1B3-44B2-9BBB-B1AB123E1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54832"/>
        <c:axId val="173874992"/>
      </c:scatterChart>
      <c:valAx>
        <c:axId val="173870672"/>
        <c:scaling>
          <c:orientation val="minMax"/>
          <c:max val="140"/>
          <c:min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Velocity (km/h)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53392"/>
        <c:crosses val="autoZero"/>
        <c:crossBetween val="midCat"/>
      </c:valAx>
      <c:valAx>
        <c:axId val="17385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Friction Force</a:t>
                </a:r>
                <a:r>
                  <a:rPr lang="en-US" baseline="0"/>
                  <a:t> (N)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70672"/>
        <c:crosses val="autoZero"/>
        <c:crossBetween val="midCat"/>
      </c:valAx>
      <c:valAx>
        <c:axId val="17387499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Overall Skin Friction Coefficient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54832"/>
        <c:crosses val="max"/>
        <c:crossBetween val="midCat"/>
      </c:valAx>
      <c:valAx>
        <c:axId val="1738548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3874992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</xdr:row>
      <xdr:rowOff>0</xdr:rowOff>
    </xdr:from>
    <xdr:to>
      <xdr:col>16</xdr:col>
      <xdr:colOff>465201</xdr:colOff>
      <xdr:row>52</xdr:row>
      <xdr:rowOff>75286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D3427-BA6C-1F00-963C-3641A1623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2667000"/>
          <a:ext cx="12190476" cy="73142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11</xdr:row>
      <xdr:rowOff>0</xdr:rowOff>
    </xdr:from>
    <xdr:to>
      <xdr:col>2</xdr:col>
      <xdr:colOff>2428875</xdr:colOff>
      <xdr:row>28</xdr:row>
      <xdr:rowOff>117939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9C1DC-5F35-51FB-F185-0BEF0480B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5" y="2181225"/>
          <a:ext cx="5076825" cy="3356439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6</xdr:col>
      <xdr:colOff>552450</xdr:colOff>
      <xdr:row>27</xdr:row>
      <xdr:rowOff>179939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E45F77-1F23-F211-F0A2-68E1787C4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24675" y="2181225"/>
          <a:ext cx="5076825" cy="322793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95249</xdr:colOff>
      <xdr:row>9</xdr:row>
      <xdr:rowOff>157161</xdr:rowOff>
    </xdr:from>
    <xdr:to>
      <xdr:col>16</xdr:col>
      <xdr:colOff>523874</xdr:colOff>
      <xdr:row>28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CFA25B-FD08-C7A5-CCA8-1CCAC474C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</xdr:colOff>
      <xdr:row>9</xdr:row>
      <xdr:rowOff>157161</xdr:rowOff>
    </xdr:from>
    <xdr:to>
      <xdr:col>9</xdr:col>
      <xdr:colOff>419100</xdr:colOff>
      <xdr:row>31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D93B2-251D-4B41-A7AF-B5C105E055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119062</xdr:colOff>
      <xdr:row>9</xdr:row>
      <xdr:rowOff>166687</xdr:rowOff>
    </xdr:from>
    <xdr:to>
      <xdr:col>12</xdr:col>
      <xdr:colOff>600075</xdr:colOff>
      <xdr:row>29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9D41E7-C0B4-72E7-43F3-65571BF935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21C8A-F0EA-4A07-95E4-6E9CF9E6784B}">
  <dimension ref="A1:H10"/>
  <sheetViews>
    <sheetView workbookViewId="0">
      <selection activeCell="E1" sqref="E1:E1048576"/>
    </sheetView>
  </sheetViews>
  <sheetFormatPr defaultRowHeight="15" x14ac:dyDescent="0.25"/>
  <cols>
    <col min="1" max="1" width="5.5703125" bestFit="1" customWidth="1"/>
    <col min="2" max="5" width="12.7109375" bestFit="1" customWidth="1"/>
    <col min="6" max="9" width="13.85546875" bestFit="1" customWidth="1"/>
  </cols>
  <sheetData>
    <row r="1" spans="1:8" ht="15.75" thickBot="1" x14ac:dyDescent="0.3">
      <c r="A1" s="1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 ht="15.75" thickBot="1" x14ac:dyDescent="0.3">
      <c r="A2" s="4">
        <v>0</v>
      </c>
      <c r="B2" s="5">
        <v>32.74</v>
      </c>
      <c r="C2" s="5">
        <v>27.08</v>
      </c>
      <c r="D2" s="5">
        <v>24.98</v>
      </c>
      <c r="E2" s="5">
        <v>23.88</v>
      </c>
      <c r="F2" s="5">
        <v>23.19</v>
      </c>
      <c r="G2" s="5">
        <v>22.72</v>
      </c>
      <c r="H2" s="5">
        <v>22.37</v>
      </c>
    </row>
    <row r="3" spans="1:8" ht="15.75" thickBot="1" x14ac:dyDescent="0.3">
      <c r="A3" s="4">
        <v>1</v>
      </c>
      <c r="B3" s="5">
        <v>30.77</v>
      </c>
      <c r="C3" s="5">
        <v>26.19</v>
      </c>
      <c r="D3" s="5">
        <v>24.45</v>
      </c>
      <c r="E3" s="5">
        <v>23.52</v>
      </c>
      <c r="F3" s="5">
        <v>22.92</v>
      </c>
      <c r="G3" s="5">
        <v>22.51</v>
      </c>
      <c r="H3" s="5">
        <v>22.21</v>
      </c>
    </row>
    <row r="4" spans="1:8" ht="15.75" thickBot="1" x14ac:dyDescent="0.3">
      <c r="A4" s="4">
        <v>2</v>
      </c>
      <c r="B4" s="5">
        <v>31.27</v>
      </c>
      <c r="C4" s="5">
        <v>26.42</v>
      </c>
      <c r="D4" s="5">
        <v>24.61</v>
      </c>
      <c r="E4" s="5">
        <v>23.63</v>
      </c>
      <c r="F4" s="5">
        <v>23.02</v>
      </c>
      <c r="G4" s="5">
        <v>22.59</v>
      </c>
      <c r="H4" s="5">
        <v>22.28</v>
      </c>
    </row>
    <row r="5" spans="1:8" ht="15.75" thickBot="1" x14ac:dyDescent="0.3">
      <c r="A5" s="4">
        <v>3</v>
      </c>
      <c r="B5" s="5">
        <v>32.14</v>
      </c>
      <c r="C5" s="5">
        <v>26.87</v>
      </c>
      <c r="D5" s="5">
        <v>24.91</v>
      </c>
      <c r="E5" s="5">
        <v>23.86</v>
      </c>
      <c r="F5" s="5">
        <v>23.2</v>
      </c>
      <c r="G5" s="5">
        <v>22.74</v>
      </c>
      <c r="H5" s="5">
        <v>22.41</v>
      </c>
    </row>
    <row r="6" spans="1:8" ht="15.75" thickBot="1" x14ac:dyDescent="0.3">
      <c r="A6" s="4">
        <v>4</v>
      </c>
      <c r="B6" s="5">
        <v>32.93</v>
      </c>
      <c r="C6" s="5">
        <v>27.3</v>
      </c>
      <c r="D6" s="5">
        <v>25.21</v>
      </c>
      <c r="E6" s="5">
        <v>24.09</v>
      </c>
      <c r="F6" s="5">
        <v>23.39</v>
      </c>
      <c r="G6" s="5">
        <v>22.9</v>
      </c>
      <c r="H6" s="5">
        <v>22.54</v>
      </c>
    </row>
    <row r="7" spans="1:8" ht="15.75" thickBot="1" x14ac:dyDescent="0.3">
      <c r="A7" s="4">
        <v>5</v>
      </c>
      <c r="B7" s="5">
        <v>33.61</v>
      </c>
      <c r="C7" s="5">
        <v>27.67</v>
      </c>
      <c r="D7" s="5">
        <v>25.46</v>
      </c>
      <c r="E7" s="5">
        <v>24.28</v>
      </c>
      <c r="F7" s="5">
        <v>23.54</v>
      </c>
      <c r="G7" s="5">
        <v>23.03</v>
      </c>
      <c r="H7" s="5">
        <v>22.66</v>
      </c>
    </row>
    <row r="8" spans="1:8" ht="15.75" thickBot="1" x14ac:dyDescent="0.3">
      <c r="A8" s="4">
        <v>6</v>
      </c>
      <c r="B8" s="5">
        <v>34.19</v>
      </c>
      <c r="C8" s="5">
        <v>27.97</v>
      </c>
      <c r="D8" s="5">
        <v>25.67</v>
      </c>
      <c r="E8" s="5">
        <v>24.45</v>
      </c>
      <c r="F8" s="5">
        <v>23.68</v>
      </c>
      <c r="G8" s="5">
        <v>23.14</v>
      </c>
      <c r="H8" s="5">
        <v>22.76</v>
      </c>
    </row>
    <row r="9" spans="1:8" ht="15.75" thickBot="1" x14ac:dyDescent="0.3">
      <c r="A9" s="4">
        <v>7</v>
      </c>
      <c r="B9" s="5">
        <v>34.69</v>
      </c>
      <c r="C9" s="5">
        <v>28.24</v>
      </c>
      <c r="D9" s="5">
        <v>25.85</v>
      </c>
      <c r="E9" s="5">
        <v>24.59</v>
      </c>
      <c r="F9" s="5">
        <v>23.79</v>
      </c>
      <c r="G9" s="5">
        <v>23.24</v>
      </c>
      <c r="H9" s="5">
        <v>22.84</v>
      </c>
    </row>
    <row r="10" spans="1:8" ht="15.75" thickBot="1" x14ac:dyDescent="0.3">
      <c r="A10" s="4">
        <v>8</v>
      </c>
      <c r="B10" s="5">
        <v>35.119999999999997</v>
      </c>
      <c r="C10" s="5">
        <v>28.47</v>
      </c>
      <c r="D10" s="5">
        <v>26.01</v>
      </c>
      <c r="E10" s="5">
        <v>24.71</v>
      </c>
      <c r="F10" s="5">
        <v>23.89</v>
      </c>
      <c r="G10" s="5">
        <v>23.32</v>
      </c>
      <c r="H10" s="5">
        <v>22.91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81B51-D08C-4509-A581-235BE7B4276A}">
  <dimension ref="A1:E8"/>
  <sheetViews>
    <sheetView workbookViewId="0">
      <selection activeCell="E2" sqref="E2:E8"/>
    </sheetView>
  </sheetViews>
  <sheetFormatPr defaultRowHeight="15" x14ac:dyDescent="0.25"/>
  <cols>
    <col min="1" max="1" width="18.42578125" style="3" bestFit="1" customWidth="1"/>
    <col min="2" max="2" width="39.7109375" style="3" customWidth="1"/>
    <col min="3" max="3" width="45.7109375" style="3" customWidth="1"/>
    <col min="4" max="4" width="20.5703125" style="3" bestFit="1" customWidth="1"/>
    <col min="5" max="5" width="38.140625" style="3" bestFit="1" customWidth="1"/>
    <col min="6" max="16384" width="9.140625" style="3"/>
  </cols>
  <sheetData>
    <row r="1" spans="1:5" ht="16.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5.75" thickBot="1" x14ac:dyDescent="0.3">
      <c r="A2" s="4">
        <v>20</v>
      </c>
      <c r="B2" s="5">
        <v>35.49</v>
      </c>
      <c r="C2" s="5">
        <v>12.79</v>
      </c>
      <c r="D2" s="5">
        <v>1.3740000000000001</v>
      </c>
      <c r="E2" s="5">
        <v>3.803E-3</v>
      </c>
    </row>
    <row r="3" spans="1:5" ht="15.75" thickBot="1" x14ac:dyDescent="0.3">
      <c r="A3" s="4">
        <v>40</v>
      </c>
      <c r="B3" s="5">
        <v>28.83</v>
      </c>
      <c r="C3" s="5">
        <v>22.27</v>
      </c>
      <c r="D3" s="5">
        <v>4.7850000000000001</v>
      </c>
      <c r="E3" s="5">
        <v>3.31E-3</v>
      </c>
    </row>
    <row r="4" spans="1:5" ht="15.75" thickBot="1" x14ac:dyDescent="0.3">
      <c r="A4" s="4">
        <v>60</v>
      </c>
      <c r="B4" s="5">
        <v>26.34</v>
      </c>
      <c r="C4" s="5">
        <v>30.8</v>
      </c>
      <c r="D4" s="5">
        <v>9.9269999999999996</v>
      </c>
      <c r="E4" s="5">
        <v>3.052E-3</v>
      </c>
    </row>
    <row r="5" spans="1:5" ht="15.75" thickBot="1" x14ac:dyDescent="0.3">
      <c r="A5" s="4">
        <v>80</v>
      </c>
      <c r="B5" s="5">
        <v>25.01</v>
      </c>
      <c r="C5" s="5">
        <v>38.770000000000003</v>
      </c>
      <c r="D5" s="5">
        <v>16.66</v>
      </c>
      <c r="E5" s="5">
        <v>2.882E-3</v>
      </c>
    </row>
    <row r="6" spans="1:5" ht="15.75" thickBot="1" x14ac:dyDescent="0.3">
      <c r="A6" s="4">
        <v>100</v>
      </c>
      <c r="B6" s="5">
        <v>24.16</v>
      </c>
      <c r="C6" s="5">
        <v>46.35</v>
      </c>
      <c r="D6" s="5">
        <v>24.9</v>
      </c>
      <c r="E6" s="5">
        <v>2.7560000000000002E-3</v>
      </c>
    </row>
    <row r="7" spans="1:5" ht="15.75" thickBot="1" x14ac:dyDescent="0.3">
      <c r="A7" s="4">
        <v>120</v>
      </c>
      <c r="B7" s="5">
        <v>23.58</v>
      </c>
      <c r="C7" s="5">
        <v>53.63</v>
      </c>
      <c r="D7" s="5">
        <v>34.57</v>
      </c>
      <c r="E7" s="5">
        <v>2.6570000000000001E-3</v>
      </c>
    </row>
    <row r="8" spans="1:5" ht="15.75" thickBot="1" x14ac:dyDescent="0.3">
      <c r="A8" s="4">
        <v>140</v>
      </c>
      <c r="B8" s="5">
        <v>23.15</v>
      </c>
      <c r="C8" s="5">
        <v>60.67</v>
      </c>
      <c r="D8" s="5">
        <v>45.62</v>
      </c>
      <c r="E8" s="5">
        <v>2.5769999999999999E-3</v>
      </c>
    </row>
  </sheetData>
  <pageMargins left="0.7" right="0.7" top="0.75" bottom="0.75" header="0.3" footer="0.3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620BB-DD17-42E0-BB3E-2B04948D7DAC}">
  <dimension ref="A1:E10"/>
  <sheetViews>
    <sheetView workbookViewId="0">
      <selection activeCell="F35" sqref="F35"/>
    </sheetView>
  </sheetViews>
  <sheetFormatPr defaultRowHeight="15" x14ac:dyDescent="0.25"/>
  <cols>
    <col min="1" max="1" width="5.5703125" bestFit="1" customWidth="1"/>
    <col min="2" max="2" width="24.140625" bestFit="1" customWidth="1"/>
    <col min="3" max="3" width="23.140625" bestFit="1" customWidth="1"/>
    <col min="4" max="4" width="17.7109375" bestFit="1" customWidth="1"/>
  </cols>
  <sheetData>
    <row r="1" spans="1:5" ht="15.75" thickBot="1" x14ac:dyDescent="0.3">
      <c r="A1" s="1" t="s">
        <v>5</v>
      </c>
      <c r="B1" s="2" t="s">
        <v>13</v>
      </c>
      <c r="C1" s="2" t="s">
        <v>14</v>
      </c>
      <c r="D1" s="2" t="s">
        <v>15</v>
      </c>
      <c r="E1" s="2" t="s">
        <v>16</v>
      </c>
    </row>
    <row r="2" spans="1:5" ht="15.75" thickBot="1" x14ac:dyDescent="0.3">
      <c r="A2" s="4">
        <v>0</v>
      </c>
      <c r="B2" s="5">
        <v>23.43</v>
      </c>
      <c r="C2" s="5">
        <v>23.88</v>
      </c>
      <c r="D2" s="5">
        <v>0.45</v>
      </c>
      <c r="E2" s="6">
        <f>D2/C2</f>
        <v>1.884422110552764E-2</v>
      </c>
    </row>
    <row r="3" spans="1:5" ht="15.75" thickBot="1" x14ac:dyDescent="0.3">
      <c r="A3" s="4">
        <v>1</v>
      </c>
      <c r="B3" s="5">
        <v>23.19</v>
      </c>
      <c r="C3" s="5">
        <v>23.52</v>
      </c>
      <c r="D3" s="5">
        <v>0.33</v>
      </c>
      <c r="E3" s="6">
        <f t="shared" ref="E3:E10" si="0">D3/C3</f>
        <v>1.4030612244897961E-2</v>
      </c>
    </row>
    <row r="4" spans="1:5" ht="15.75" thickBot="1" x14ac:dyDescent="0.3">
      <c r="A4" s="4">
        <v>2</v>
      </c>
      <c r="B4" s="5">
        <v>23.69</v>
      </c>
      <c r="C4" s="5">
        <v>23.63</v>
      </c>
      <c r="D4" s="5">
        <v>0.06</v>
      </c>
      <c r="E4" s="6">
        <f t="shared" si="0"/>
        <v>2.5391451544646637E-3</v>
      </c>
    </row>
    <row r="5" spans="1:5" ht="15.75" thickBot="1" x14ac:dyDescent="0.3">
      <c r="A5" s="4">
        <v>3</v>
      </c>
      <c r="B5" s="5">
        <v>24.03</v>
      </c>
      <c r="C5" s="5">
        <v>23.86</v>
      </c>
      <c r="D5" s="5">
        <v>0.17</v>
      </c>
      <c r="E5" s="6">
        <f t="shared" si="0"/>
        <v>7.1248952221290868E-3</v>
      </c>
    </row>
    <row r="6" spans="1:5" ht="15.75" thickBot="1" x14ac:dyDescent="0.3">
      <c r="A6" s="4">
        <v>4</v>
      </c>
      <c r="B6" s="5">
        <v>24.28</v>
      </c>
      <c r="C6" s="5">
        <v>24.09</v>
      </c>
      <c r="D6" s="5">
        <v>0.19</v>
      </c>
      <c r="E6" s="6">
        <f t="shared" si="0"/>
        <v>7.8870900788709005E-3</v>
      </c>
    </row>
    <row r="7" spans="1:5" ht="15.75" thickBot="1" x14ac:dyDescent="0.3">
      <c r="A7" s="4">
        <v>5</v>
      </c>
      <c r="B7" s="5">
        <v>24.47</v>
      </c>
      <c r="C7" s="5">
        <v>24.28</v>
      </c>
      <c r="D7" s="5">
        <v>0.19</v>
      </c>
      <c r="E7" s="6">
        <f t="shared" si="0"/>
        <v>7.8253706754530476E-3</v>
      </c>
    </row>
    <row r="8" spans="1:5" ht="15.75" thickBot="1" x14ac:dyDescent="0.3">
      <c r="A8" s="4">
        <v>6</v>
      </c>
      <c r="B8" s="5">
        <v>24.64</v>
      </c>
      <c r="C8" s="5">
        <v>24.45</v>
      </c>
      <c r="D8" s="5">
        <v>0.19</v>
      </c>
      <c r="E8" s="6">
        <f t="shared" si="0"/>
        <v>7.770961145194274E-3</v>
      </c>
    </row>
    <row r="9" spans="1:5" ht="15.75" thickBot="1" x14ac:dyDescent="0.3">
      <c r="A9" s="4">
        <v>7</v>
      </c>
      <c r="B9" s="5">
        <v>24.78</v>
      </c>
      <c r="C9" s="5">
        <v>24.59</v>
      </c>
      <c r="D9" s="5">
        <v>0.19</v>
      </c>
      <c r="E9" s="6">
        <f t="shared" si="0"/>
        <v>7.7267181781211875E-3</v>
      </c>
    </row>
    <row r="10" spans="1:5" ht="15.75" thickBot="1" x14ac:dyDescent="0.3">
      <c r="A10" s="4">
        <v>8</v>
      </c>
      <c r="B10" s="5">
        <v>24.9</v>
      </c>
      <c r="C10" s="5">
        <v>24.71</v>
      </c>
      <c r="D10" s="5">
        <v>0.19</v>
      </c>
      <c r="E10" s="6">
        <f t="shared" si="0"/>
        <v>7.6891946580331851E-3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873FB-3A69-4DE3-9696-B117D3A26893}">
  <dimension ref="A1:I8"/>
  <sheetViews>
    <sheetView zoomScaleNormal="100" workbookViewId="0">
      <selection activeCell="D1" sqref="D1:E1"/>
    </sheetView>
  </sheetViews>
  <sheetFormatPr defaultColWidth="18.140625" defaultRowHeight="15" x14ac:dyDescent="0.25"/>
  <cols>
    <col min="1" max="1" width="18.42578125" style="3" bestFit="1" customWidth="1"/>
    <col min="2" max="2" width="22" bestFit="1" customWidth="1"/>
    <col min="3" max="3" width="20.85546875" bestFit="1" customWidth="1"/>
    <col min="4" max="4" width="17.7109375" bestFit="1" customWidth="1"/>
    <col min="5" max="5" width="7.28515625" bestFit="1" customWidth="1"/>
    <col min="6" max="6" width="27.140625" bestFit="1" customWidth="1"/>
    <col min="7" max="7" width="25.5703125" bestFit="1" customWidth="1"/>
    <col min="8" max="8" width="23" bestFit="1" customWidth="1"/>
    <col min="9" max="9" width="7.28515625" bestFit="1" customWidth="1"/>
  </cols>
  <sheetData>
    <row r="1" spans="1:9" ht="16.5" thickBot="1" x14ac:dyDescent="0.3">
      <c r="A1" s="1" t="s">
        <v>0</v>
      </c>
      <c r="B1" s="2" t="s">
        <v>18</v>
      </c>
      <c r="C1" s="2" t="s">
        <v>19</v>
      </c>
      <c r="D1" s="2" t="s">
        <v>15</v>
      </c>
      <c r="E1" s="2" t="s">
        <v>16</v>
      </c>
      <c r="F1" s="2" t="s">
        <v>17</v>
      </c>
      <c r="G1" s="2" t="s">
        <v>20</v>
      </c>
      <c r="H1" s="2" t="s">
        <v>21</v>
      </c>
      <c r="I1" s="2" t="s">
        <v>16</v>
      </c>
    </row>
    <row r="2" spans="1:9" ht="15.75" thickBot="1" x14ac:dyDescent="0.3">
      <c r="A2" s="4">
        <v>20</v>
      </c>
      <c r="B2" s="5">
        <v>33.055</v>
      </c>
      <c r="C2" s="5">
        <v>35.49</v>
      </c>
      <c r="D2" s="5">
        <f>(B2-C2)*-1</f>
        <v>2.4350000000000023</v>
      </c>
      <c r="E2" s="6">
        <f>D2/C2</f>
        <v>6.8610876303184062E-2</v>
      </c>
      <c r="F2" s="5">
        <v>15.807</v>
      </c>
      <c r="G2" s="5">
        <v>12.79</v>
      </c>
      <c r="H2" s="5">
        <f>F2-G2</f>
        <v>3.0170000000000012</v>
      </c>
      <c r="I2" s="6">
        <f>H2/G2</f>
        <v>0.23588741204065689</v>
      </c>
    </row>
    <row r="3" spans="1:9" ht="15.75" thickBot="1" x14ac:dyDescent="0.3">
      <c r="A3" s="4">
        <v>40</v>
      </c>
      <c r="B3" s="5">
        <v>27.373000000000001</v>
      </c>
      <c r="C3" s="5">
        <v>28.83</v>
      </c>
      <c r="D3" s="5">
        <f t="shared" ref="D3:D8" si="0">(B3-C3)*-1</f>
        <v>1.4569999999999972</v>
      </c>
      <c r="E3" s="6">
        <f t="shared" ref="E3:E8" si="1">D3/C3</f>
        <v>5.0537634408602053E-2</v>
      </c>
      <c r="F3" s="5">
        <v>27.850999999999999</v>
      </c>
      <c r="G3" s="5">
        <v>22.27</v>
      </c>
      <c r="H3" s="5">
        <f t="shared" ref="H3:H8" si="2">F3-G3</f>
        <v>5.5809999999999995</v>
      </c>
      <c r="I3" s="6">
        <f t="shared" ref="I3:I8" si="3">H3/G3</f>
        <v>0.25060619667714412</v>
      </c>
    </row>
    <row r="4" spans="1:9" ht="15.75" thickBot="1" x14ac:dyDescent="0.3">
      <c r="A4" s="4">
        <v>60</v>
      </c>
      <c r="B4" s="5">
        <v>25.259</v>
      </c>
      <c r="C4" s="5">
        <v>26.34</v>
      </c>
      <c r="D4" s="5">
        <f t="shared" si="0"/>
        <v>1.0809999999999995</v>
      </c>
      <c r="E4" s="6">
        <f t="shared" si="1"/>
        <v>4.1040242976461638E-2</v>
      </c>
      <c r="F4" s="5">
        <v>38.962000000000003</v>
      </c>
      <c r="G4" s="5">
        <v>30.8</v>
      </c>
      <c r="H4" s="5">
        <f t="shared" si="2"/>
        <v>8.1620000000000026</v>
      </c>
      <c r="I4" s="6">
        <f t="shared" si="3"/>
        <v>0.26500000000000007</v>
      </c>
    </row>
    <row r="5" spans="1:9" ht="15.75" thickBot="1" x14ac:dyDescent="0.3">
      <c r="A5" s="4">
        <v>80</v>
      </c>
      <c r="B5" s="5">
        <v>24.131</v>
      </c>
      <c r="C5" s="5">
        <v>25.01</v>
      </c>
      <c r="D5" s="5">
        <f t="shared" si="0"/>
        <v>0.87900000000000134</v>
      </c>
      <c r="E5" s="6">
        <f t="shared" si="1"/>
        <v>3.5145941623350711E-2</v>
      </c>
      <c r="F5" s="5">
        <v>49.530999999999999</v>
      </c>
      <c r="G5" s="5">
        <v>38.770000000000003</v>
      </c>
      <c r="H5" s="5">
        <f t="shared" si="2"/>
        <v>10.760999999999996</v>
      </c>
      <c r="I5" s="6">
        <f t="shared" si="3"/>
        <v>0.27755996904823305</v>
      </c>
    </row>
    <row r="6" spans="1:9" ht="15.75" thickBot="1" x14ac:dyDescent="0.3">
      <c r="A6" s="4">
        <v>100</v>
      </c>
      <c r="B6" s="5">
        <v>23.422999999999998</v>
      </c>
      <c r="C6" s="5">
        <v>24.16</v>
      </c>
      <c r="D6" s="5">
        <f t="shared" si="0"/>
        <v>0.73700000000000188</v>
      </c>
      <c r="E6" s="6">
        <f t="shared" si="1"/>
        <v>3.0504966887417297E-2</v>
      </c>
      <c r="F6" s="5">
        <v>59.723999999999997</v>
      </c>
      <c r="G6" s="5">
        <v>46.35</v>
      </c>
      <c r="H6" s="5">
        <f t="shared" si="2"/>
        <v>13.373999999999995</v>
      </c>
      <c r="I6" s="6">
        <f t="shared" si="3"/>
        <v>0.28854368932038826</v>
      </c>
    </row>
    <row r="7" spans="1:9" ht="15.75" thickBot="1" x14ac:dyDescent="0.3">
      <c r="A7" s="4">
        <v>120</v>
      </c>
      <c r="B7" s="5">
        <v>22.934000000000001</v>
      </c>
      <c r="C7" s="5">
        <v>23.58</v>
      </c>
      <c r="D7" s="5">
        <f t="shared" si="0"/>
        <v>0.64599999999999724</v>
      </c>
      <c r="E7" s="6">
        <f t="shared" si="1"/>
        <v>2.7396098388464685E-2</v>
      </c>
      <c r="F7" s="5">
        <v>69.632999999999996</v>
      </c>
      <c r="G7" s="5">
        <v>53.63</v>
      </c>
      <c r="H7" s="5">
        <f t="shared" si="2"/>
        <v>16.002999999999993</v>
      </c>
      <c r="I7" s="6">
        <f t="shared" si="3"/>
        <v>0.29839641991422694</v>
      </c>
    </row>
    <row r="8" spans="1:9" ht="15.75" thickBot="1" x14ac:dyDescent="0.3">
      <c r="A8" s="4">
        <v>140</v>
      </c>
      <c r="B8" s="5">
        <v>22.574999999999999</v>
      </c>
      <c r="C8" s="5">
        <v>23.15</v>
      </c>
      <c r="D8" s="5">
        <f t="shared" si="0"/>
        <v>0.57499999999999929</v>
      </c>
      <c r="E8" s="6">
        <f t="shared" si="1"/>
        <v>2.4838012958963252E-2</v>
      </c>
      <c r="F8" s="5">
        <v>79.313000000000002</v>
      </c>
      <c r="G8" s="5">
        <v>60.67</v>
      </c>
      <c r="H8" s="5">
        <f t="shared" si="2"/>
        <v>18.643000000000001</v>
      </c>
      <c r="I8" s="6">
        <f t="shared" si="3"/>
        <v>0.3072853139937366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1E553-A31F-4AD2-975F-38E844DBDE13}">
  <dimension ref="A1:I8"/>
  <sheetViews>
    <sheetView tabSelected="1" workbookViewId="0">
      <selection activeCell="I8" sqref="A1:I8"/>
    </sheetView>
  </sheetViews>
  <sheetFormatPr defaultRowHeight="15" x14ac:dyDescent="0.25"/>
  <cols>
    <col min="1" max="1" width="18.42578125" bestFit="1" customWidth="1"/>
    <col min="2" max="2" width="17.7109375" bestFit="1" customWidth="1"/>
    <col min="3" max="3" width="16.5703125" bestFit="1" customWidth="1"/>
    <col min="4" max="4" width="17.28515625" bestFit="1" customWidth="1"/>
    <col min="5" max="5" width="7.28515625" bestFit="1" customWidth="1"/>
    <col min="6" max="6" width="18.5703125" bestFit="1" customWidth="1"/>
    <col min="7" max="7" width="17.5703125" bestFit="1" customWidth="1"/>
    <col min="8" max="8" width="13.85546875" bestFit="1" customWidth="1"/>
    <col min="9" max="9" width="7.28515625" bestFit="1" customWidth="1"/>
  </cols>
  <sheetData>
    <row r="1" spans="1:9" ht="15.75" thickBot="1" x14ac:dyDescent="0.3">
      <c r="A1" s="1" t="s">
        <v>0</v>
      </c>
      <c r="B1" s="2" t="s">
        <v>22</v>
      </c>
      <c r="C1" s="2" t="s">
        <v>27</v>
      </c>
      <c r="D1" s="2" t="s">
        <v>24</v>
      </c>
      <c r="E1" s="2" t="s">
        <v>16</v>
      </c>
      <c r="F1" s="2" t="s">
        <v>23</v>
      </c>
      <c r="G1" s="2" t="s">
        <v>26</v>
      </c>
      <c r="H1" s="2" t="s">
        <v>25</v>
      </c>
      <c r="I1" s="2" t="s">
        <v>16</v>
      </c>
    </row>
    <row r="2" spans="1:9" ht="15.75" thickBot="1" x14ac:dyDescent="0.3">
      <c r="A2" s="4">
        <v>20</v>
      </c>
      <c r="B2" s="5">
        <v>1.41</v>
      </c>
      <c r="C2" s="5">
        <v>1.3740000000000001</v>
      </c>
      <c r="D2" s="5">
        <f>B2-C2</f>
        <v>3.599999999999981E-2</v>
      </c>
      <c r="E2" s="6">
        <f>D2/C2</f>
        <v>2.6200873362445275E-2</v>
      </c>
      <c r="F2" s="5">
        <v>3.7291999999999998E-3</v>
      </c>
      <c r="G2" s="5">
        <v>3.803E-3</v>
      </c>
      <c r="H2" s="7">
        <f>(F2-G2)*-1</f>
        <v>7.3800000000000168E-5</v>
      </c>
      <c r="I2" s="6">
        <f>H2/G2</f>
        <v>1.9405732316592209E-2</v>
      </c>
    </row>
    <row r="3" spans="1:9" ht="15.75" thickBot="1" x14ac:dyDescent="0.3">
      <c r="A3" s="4">
        <v>40</v>
      </c>
      <c r="B3" s="5">
        <v>4.9965000000000002</v>
      </c>
      <c r="C3" s="5">
        <v>4.7850000000000001</v>
      </c>
      <c r="D3" s="5">
        <f t="shared" ref="D3:D8" si="0">B3-C3</f>
        <v>0.21150000000000002</v>
      </c>
      <c r="E3" s="6">
        <f t="shared" ref="E3:E8" si="1">D3/C3</f>
        <v>4.4200626959247653E-2</v>
      </c>
      <c r="F3" s="5">
        <v>3.3038E-3</v>
      </c>
      <c r="G3" s="5">
        <v>3.31E-3</v>
      </c>
      <c r="H3" s="7">
        <f>(F3-G3)*-1</f>
        <v>6.2000000000000423E-6</v>
      </c>
      <c r="I3" s="6">
        <f t="shared" ref="I3:I8" si="2">H3/G3</f>
        <v>1.8731117824773542E-3</v>
      </c>
    </row>
    <row r="4" spans="1:9" ht="15.75" thickBot="1" x14ac:dyDescent="0.3">
      <c r="A4" s="4">
        <v>60</v>
      </c>
      <c r="B4" s="5">
        <v>10.513</v>
      </c>
      <c r="C4" s="5">
        <v>9.9269999999999996</v>
      </c>
      <c r="D4" s="5">
        <f t="shared" si="0"/>
        <v>0.5860000000000003</v>
      </c>
      <c r="E4" s="6">
        <f t="shared" si="1"/>
        <v>5.9030925758033675E-2</v>
      </c>
      <c r="F4" s="5">
        <v>3.0950000000000001E-3</v>
      </c>
      <c r="G4" s="5">
        <v>3.052E-3</v>
      </c>
      <c r="H4" s="7">
        <f t="shared" ref="H3:H8" si="3">F4-G4</f>
        <v>4.3000000000000069E-5</v>
      </c>
      <c r="I4" s="6">
        <f t="shared" si="2"/>
        <v>1.4089121887287047E-2</v>
      </c>
    </row>
    <row r="5" spans="1:9" ht="15.75" thickBot="1" x14ac:dyDescent="0.3">
      <c r="A5" s="4">
        <v>80</v>
      </c>
      <c r="B5" s="5">
        <v>17.849</v>
      </c>
      <c r="C5" s="5">
        <v>16.66</v>
      </c>
      <c r="D5" s="5">
        <f t="shared" si="0"/>
        <v>1.1890000000000001</v>
      </c>
      <c r="E5" s="6">
        <f t="shared" si="1"/>
        <v>7.1368547418967587E-2</v>
      </c>
      <c r="F5" s="5">
        <v>2.9559999999999999E-3</v>
      </c>
      <c r="G5" s="5">
        <v>2.882E-3</v>
      </c>
      <c r="H5" s="7">
        <f t="shared" si="3"/>
        <v>7.3999999999999847E-5</v>
      </c>
      <c r="I5" s="6">
        <f t="shared" si="2"/>
        <v>2.5676613462872953E-2</v>
      </c>
    </row>
    <row r="6" spans="1:9" ht="15.75" thickBot="1" x14ac:dyDescent="0.3">
      <c r="A6" s="4">
        <v>100</v>
      </c>
      <c r="B6" s="5">
        <v>26.934999999999999</v>
      </c>
      <c r="C6" s="5">
        <v>24.9</v>
      </c>
      <c r="D6" s="5">
        <f t="shared" si="0"/>
        <v>2.0350000000000001</v>
      </c>
      <c r="E6" s="6">
        <f t="shared" si="1"/>
        <v>8.1726907630522094E-2</v>
      </c>
      <c r="F6" s="5">
        <v>2.8495999999999999E-3</v>
      </c>
      <c r="G6" s="5">
        <v>2.7560000000000002E-3</v>
      </c>
      <c r="H6" s="7">
        <f t="shared" si="3"/>
        <v>9.3599999999999673E-5</v>
      </c>
      <c r="I6" s="6">
        <f t="shared" si="2"/>
        <v>3.3962264150943278E-2</v>
      </c>
    </row>
    <row r="7" spans="1:9" ht="15.75" thickBot="1" x14ac:dyDescent="0.3">
      <c r="A7" s="4">
        <v>120</v>
      </c>
      <c r="B7" s="5">
        <v>37.719000000000001</v>
      </c>
      <c r="C7" s="5">
        <v>34.57</v>
      </c>
      <c r="D7" s="5">
        <f t="shared" si="0"/>
        <v>3.1490000000000009</v>
      </c>
      <c r="E7" s="6">
        <f t="shared" si="1"/>
        <v>9.1090540931443476E-2</v>
      </c>
      <c r="F7" s="5">
        <v>2.7712000000000001E-3</v>
      </c>
      <c r="G7" s="5">
        <v>2.6570000000000001E-3</v>
      </c>
      <c r="H7" s="7">
        <f t="shared" si="3"/>
        <v>1.1420000000000007E-4</v>
      </c>
      <c r="I7" s="6">
        <f t="shared" si="2"/>
        <v>4.2980805419646238E-2</v>
      </c>
    </row>
    <row r="8" spans="1:9" ht="15.75" thickBot="1" x14ac:dyDescent="0.3">
      <c r="A8" s="4">
        <v>140</v>
      </c>
      <c r="B8" s="5">
        <v>50.158999999999999</v>
      </c>
      <c r="C8" s="5">
        <v>45.62</v>
      </c>
      <c r="D8" s="5">
        <f t="shared" si="0"/>
        <v>4.5390000000000015</v>
      </c>
      <c r="E8" s="6">
        <f t="shared" si="1"/>
        <v>9.9495835160017573E-2</v>
      </c>
      <c r="F8" s="5">
        <v>2.7074999999999998E-3</v>
      </c>
      <c r="G8" s="5">
        <v>2.5769999999999999E-3</v>
      </c>
      <c r="H8" s="7">
        <f t="shared" si="3"/>
        <v>1.3049999999999997E-4</v>
      </c>
      <c r="I8" s="6">
        <f t="shared" si="2"/>
        <v>5.0640279394644931E-2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Req 1 (Empirical)</vt:lpstr>
      <vt:lpstr>Req 2,3 (Empirical)</vt:lpstr>
      <vt:lpstr>Req 1 comparison</vt:lpstr>
      <vt:lpstr>Req 2 comparison</vt:lpstr>
      <vt:lpstr>Req 3 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Hosni</dc:creator>
  <cp:lastModifiedBy>Mohamed Hosni</cp:lastModifiedBy>
  <dcterms:created xsi:type="dcterms:W3CDTF">2025-12-14T13:20:05Z</dcterms:created>
  <dcterms:modified xsi:type="dcterms:W3CDTF">2025-12-14T15:17:45Z</dcterms:modified>
</cp:coreProperties>
</file>